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24226"/>
  <mc:AlternateContent xmlns:mc="http://schemas.openxmlformats.org/markup-compatibility/2006">
    <mc:Choice Requires="x15">
      <x15ac:absPath xmlns:x15ac="http://schemas.microsoft.com/office/spreadsheetml/2010/11/ac" url="C:\Users\Hp\OneDrive\Desktop\"/>
    </mc:Choice>
  </mc:AlternateContent>
  <bookViews>
    <workbookView xWindow="0" yWindow="0" windowWidth="23040" windowHeight="8784" activeTab="4"/>
  </bookViews>
  <sheets>
    <sheet name="Sheet1" sheetId="11" r:id="rId1"/>
    <sheet name="Sheet7" sheetId="7" r:id="rId2"/>
    <sheet name="Sheet10" sheetId="10" r:id="rId3"/>
    <sheet name="Sheet8" sheetId="8" r:id="rId4"/>
    <sheet name="Sheet9" sheetId="9" r:id="rId5"/>
  </sheets>
  <definedNames>
    <definedName name="ExternalData_1" localSheetId="1" hidden="1">Sheet7!$A$1:$Q$336</definedName>
    <definedName name="Slicer_city">#N/A</definedName>
    <definedName name="Slicer_job_role">#N/A</definedName>
    <definedName name="Slicer_work_mode">#N/A</definedName>
  </definedNames>
  <calcPr calcId="162913"/>
  <pivotCaches>
    <pivotCache cacheId="5" r:id="rId6"/>
  </pivotCaches>
  <fileRecoveryPr repairLoad="1"/>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Lst>
</workbook>
</file>

<file path=xl/calcChain.xml><?xml version="1.0" encoding="utf-8"?>
<calcChain xmlns="http://schemas.openxmlformats.org/spreadsheetml/2006/main">
  <c r="N8" i="8" l="1"/>
  <c r="N6" i="8"/>
  <c r="N4" i="8"/>
  <c r="N2" i="8"/>
  <c r="M19" i="8" s="1"/>
</calcChain>
</file>

<file path=xl/connections.xml><?xml version="1.0" encoding="utf-8"?>
<connections xmlns="http://schemas.openxmlformats.org/spreadsheetml/2006/main">
  <connection id="1" keepAlive="1" name="Query - Table1" description="Connection to the 'Table1' query in the workbook." type="5" refreshedVersion="6" background="1" saveData="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<sst xmlns="http://schemas.openxmlformats.org/spreadsheetml/2006/main" count="3566" uniqueCount="725">
  <si>
    <t>employee_id</t>
  </si>
  <si>
    <t>employee_name</t>
  </si>
  <si>
    <t>age</t>
  </si>
  <si>
    <t>department</t>
  </si>
  <si>
    <t>job_role</t>
  </si>
  <si>
    <t>city</t>
  </si>
  <si>
    <t>joining_date</t>
  </si>
  <si>
    <t>leaving_date</t>
  </si>
  <si>
    <t>experience_years</t>
  </si>
  <si>
    <t>salary</t>
  </si>
  <si>
    <t>attendance_percent</t>
  </si>
  <si>
    <t>performance_rating</t>
  </si>
  <si>
    <t>overtime_hours</t>
  </si>
  <si>
    <t>work_mode</t>
  </si>
  <si>
    <t>attrition</t>
  </si>
  <si>
    <t>EMP0001</t>
  </si>
  <si>
    <t>EMP0002</t>
  </si>
  <si>
    <t>EMP0003</t>
  </si>
  <si>
    <t>EMP0004</t>
  </si>
  <si>
    <t>EMP0005</t>
  </si>
  <si>
    <t>EMP0006</t>
  </si>
  <si>
    <t>EMP0007</t>
  </si>
  <si>
    <t>EMP0008</t>
  </si>
  <si>
    <t>EMP0009</t>
  </si>
  <si>
    <t>EMP0010</t>
  </si>
  <si>
    <t>EMP0011</t>
  </si>
  <si>
    <t>EMP0012</t>
  </si>
  <si>
    <t>EMP0013</t>
  </si>
  <si>
    <t>EMP0014</t>
  </si>
  <si>
    <t>EMP0015</t>
  </si>
  <si>
    <t>EMP0016</t>
  </si>
  <si>
    <t>EMP0017</t>
  </si>
  <si>
    <t>EMP0018</t>
  </si>
  <si>
    <t>EMP0019</t>
  </si>
  <si>
    <t>EMP0020</t>
  </si>
  <si>
    <t>EMP0021</t>
  </si>
  <si>
    <t>EMP0022</t>
  </si>
  <si>
    <t>EMP0023</t>
  </si>
  <si>
    <t>EMP0024</t>
  </si>
  <si>
    <t>EMP0025</t>
  </si>
  <si>
    <t>EMP0026</t>
  </si>
  <si>
    <t>EMP0027</t>
  </si>
  <si>
    <t>EMP0028</t>
  </si>
  <si>
    <t>EMP0029</t>
  </si>
  <si>
    <t>EMP0030</t>
  </si>
  <si>
    <t>EMP0031</t>
  </si>
  <si>
    <t>EMP0032</t>
  </si>
  <si>
    <t>EMP0033</t>
  </si>
  <si>
    <t>EMP0034</t>
  </si>
  <si>
    <t>EMP0035</t>
  </si>
  <si>
    <t>EMP0036</t>
  </si>
  <si>
    <t>EMP0037</t>
  </si>
  <si>
    <t>EMP0038</t>
  </si>
  <si>
    <t>EMP0039</t>
  </si>
  <si>
    <t>EMP0040</t>
  </si>
  <si>
    <t>EMP0041</t>
  </si>
  <si>
    <t>EMP0042</t>
  </si>
  <si>
    <t>EMP0043</t>
  </si>
  <si>
    <t>EMP0044</t>
  </si>
  <si>
    <t>EMP0045</t>
  </si>
  <si>
    <t>EMP0046</t>
  </si>
  <si>
    <t>EMP0047</t>
  </si>
  <si>
    <t>EMP0048</t>
  </si>
  <si>
    <t>EMP0049</t>
  </si>
  <si>
    <t>EMP0050</t>
  </si>
  <si>
    <t>EMP0051</t>
  </si>
  <si>
    <t>EMP0052</t>
  </si>
  <si>
    <t>EMP0053</t>
  </si>
  <si>
    <t>EMP0054</t>
  </si>
  <si>
    <t>EMP0055</t>
  </si>
  <si>
    <t>EMP0056</t>
  </si>
  <si>
    <t>EMP0057</t>
  </si>
  <si>
    <t>EMP0058</t>
  </si>
  <si>
    <t>EMP0059</t>
  </si>
  <si>
    <t>EMP0060</t>
  </si>
  <si>
    <t>EMP0061</t>
  </si>
  <si>
    <t>EMP0062</t>
  </si>
  <si>
    <t>EMP0063</t>
  </si>
  <si>
    <t>EMP0064</t>
  </si>
  <si>
    <t>EMP0065</t>
  </si>
  <si>
    <t>EMP0066</t>
  </si>
  <si>
    <t>EMP0067</t>
  </si>
  <si>
    <t>EMP0068</t>
  </si>
  <si>
    <t>EMP0069</t>
  </si>
  <si>
    <t>EMP0070</t>
  </si>
  <si>
    <t>EMP0071</t>
  </si>
  <si>
    <t>EMP0072</t>
  </si>
  <si>
    <t>EMP0073</t>
  </si>
  <si>
    <t>EMP0074</t>
  </si>
  <si>
    <t>EMP0075</t>
  </si>
  <si>
    <t>EMP0076</t>
  </si>
  <si>
    <t>EMP0077</t>
  </si>
  <si>
    <t>EMP0078</t>
  </si>
  <si>
    <t>EMP0079</t>
  </si>
  <si>
    <t>EMP0080</t>
  </si>
  <si>
    <t>EMP0081</t>
  </si>
  <si>
    <t>EMP0082</t>
  </si>
  <si>
    <t>EMP0083</t>
  </si>
  <si>
    <t>EMP0084</t>
  </si>
  <si>
    <t>EMP0085</t>
  </si>
  <si>
    <t>EMP0086</t>
  </si>
  <si>
    <t>EMP0087</t>
  </si>
  <si>
    <t>EMP0088</t>
  </si>
  <si>
    <t>EMP0089</t>
  </si>
  <si>
    <t>EMP0090</t>
  </si>
  <si>
    <t>EMP0091</t>
  </si>
  <si>
    <t>EMP0092</t>
  </si>
  <si>
    <t>EMP0093</t>
  </si>
  <si>
    <t>EMP0094</t>
  </si>
  <si>
    <t>EMP0095</t>
  </si>
  <si>
    <t>EMP0096</t>
  </si>
  <si>
    <t>EMP0097</t>
  </si>
  <si>
    <t>EMP0098</t>
  </si>
  <si>
    <t>EMP0099</t>
  </si>
  <si>
    <t>EMP0100</t>
  </si>
  <si>
    <t>EMP0101</t>
  </si>
  <si>
    <t>EMP0102</t>
  </si>
  <si>
    <t>EMP0103</t>
  </si>
  <si>
    <t>EMP0104</t>
  </si>
  <si>
    <t>EMP0105</t>
  </si>
  <si>
    <t>EMP0106</t>
  </si>
  <si>
    <t>EMP0107</t>
  </si>
  <si>
    <t>EMP0108</t>
  </si>
  <si>
    <t>EMP0109</t>
  </si>
  <si>
    <t>EMP0110</t>
  </si>
  <si>
    <t>EMP0111</t>
  </si>
  <si>
    <t>EMP0112</t>
  </si>
  <si>
    <t>EMP0113</t>
  </si>
  <si>
    <t>EMP0114</t>
  </si>
  <si>
    <t>EMP0115</t>
  </si>
  <si>
    <t>EMP0116</t>
  </si>
  <si>
    <t>EMP0117</t>
  </si>
  <si>
    <t>EMP0118</t>
  </si>
  <si>
    <t>EMP0119</t>
  </si>
  <si>
    <t>EMP0120</t>
  </si>
  <si>
    <t>EMP0121</t>
  </si>
  <si>
    <t>EMP0122</t>
  </si>
  <si>
    <t>EMP0123</t>
  </si>
  <si>
    <t>EMP0124</t>
  </si>
  <si>
    <t>EMP0125</t>
  </si>
  <si>
    <t>EMP0126</t>
  </si>
  <si>
    <t>EMP0127</t>
  </si>
  <si>
    <t>EMP0128</t>
  </si>
  <si>
    <t>EMP0129</t>
  </si>
  <si>
    <t>EMP0130</t>
  </si>
  <si>
    <t>EMP0131</t>
  </si>
  <si>
    <t>EMP0132</t>
  </si>
  <si>
    <t>EMP0133</t>
  </si>
  <si>
    <t>EMP0134</t>
  </si>
  <si>
    <t>EMP0135</t>
  </si>
  <si>
    <t>EMP0136</t>
  </si>
  <si>
    <t>EMP0137</t>
  </si>
  <si>
    <t>EMP0138</t>
  </si>
  <si>
    <t>EMP0139</t>
  </si>
  <si>
    <t>EMP0140</t>
  </si>
  <si>
    <t>EMP0141</t>
  </si>
  <si>
    <t>EMP0142</t>
  </si>
  <si>
    <t>EMP0143</t>
  </si>
  <si>
    <t>EMP0144</t>
  </si>
  <si>
    <t>EMP0145</t>
  </si>
  <si>
    <t>EMP0146</t>
  </si>
  <si>
    <t>EMP0147</t>
  </si>
  <si>
    <t>EMP0148</t>
  </si>
  <si>
    <t>EMP0149</t>
  </si>
  <si>
    <t>EMP0150</t>
  </si>
  <si>
    <t>EMP0151</t>
  </si>
  <si>
    <t>EMP0152</t>
  </si>
  <si>
    <t>EMP0153</t>
  </si>
  <si>
    <t>EMP0154</t>
  </si>
  <si>
    <t>EMP0155</t>
  </si>
  <si>
    <t>EMP0156</t>
  </si>
  <si>
    <t>EMP0157</t>
  </si>
  <si>
    <t>EMP0158</t>
  </si>
  <si>
    <t>EMP0159</t>
  </si>
  <si>
    <t>EMP0160</t>
  </si>
  <si>
    <t>EMP0161</t>
  </si>
  <si>
    <t>EMP0162</t>
  </si>
  <si>
    <t>EMP0163</t>
  </si>
  <si>
    <t>EMP0164</t>
  </si>
  <si>
    <t>EMP0165</t>
  </si>
  <si>
    <t>EMP0166</t>
  </si>
  <si>
    <t>EMP0167</t>
  </si>
  <si>
    <t>EMP0168</t>
  </si>
  <si>
    <t>EMP0169</t>
  </si>
  <si>
    <t>EMP0170</t>
  </si>
  <si>
    <t>EMP0171</t>
  </si>
  <si>
    <t>EMP0172</t>
  </si>
  <si>
    <t>EMP0173</t>
  </si>
  <si>
    <t>EMP0174</t>
  </si>
  <si>
    <t>EMP0175</t>
  </si>
  <si>
    <t>EMP0176</t>
  </si>
  <si>
    <t>EMP0177</t>
  </si>
  <si>
    <t>EMP0178</t>
  </si>
  <si>
    <t>EMP0179</t>
  </si>
  <si>
    <t>EMP0180</t>
  </si>
  <si>
    <t>EMP0181</t>
  </si>
  <si>
    <t>EMP0182</t>
  </si>
  <si>
    <t>EMP0183</t>
  </si>
  <si>
    <t>EMP0184</t>
  </si>
  <si>
    <t>EMP0185</t>
  </si>
  <si>
    <t>EMP0186</t>
  </si>
  <si>
    <t>EMP0187</t>
  </si>
  <si>
    <t>EMP0188</t>
  </si>
  <si>
    <t>EMP0189</t>
  </si>
  <si>
    <t>EMP0190</t>
  </si>
  <si>
    <t>EMP0191</t>
  </si>
  <si>
    <t>EMP0192</t>
  </si>
  <si>
    <t>EMP0193</t>
  </si>
  <si>
    <t>EMP0194</t>
  </si>
  <si>
    <t>EMP0195</t>
  </si>
  <si>
    <t>EMP0196</t>
  </si>
  <si>
    <t>EMP0197</t>
  </si>
  <si>
    <t>EMP0198</t>
  </si>
  <si>
    <t>EMP0199</t>
  </si>
  <si>
    <t>EMP0200</t>
  </si>
  <si>
    <t>EMP0201</t>
  </si>
  <si>
    <t>EMP0202</t>
  </si>
  <si>
    <t>EMP0203</t>
  </si>
  <si>
    <t>EMP0204</t>
  </si>
  <si>
    <t>EMP0205</t>
  </si>
  <si>
    <t>EMP0206</t>
  </si>
  <si>
    <t>EMP0207</t>
  </si>
  <si>
    <t>EMP0208</t>
  </si>
  <si>
    <t>EMP0209</t>
  </si>
  <si>
    <t>EMP0210</t>
  </si>
  <si>
    <t>EMP0211</t>
  </si>
  <si>
    <t>EMP0212</t>
  </si>
  <si>
    <t>EMP0213</t>
  </si>
  <si>
    <t>EMP0214</t>
  </si>
  <si>
    <t>EMP0215</t>
  </si>
  <si>
    <t>EMP0216</t>
  </si>
  <si>
    <t>EMP0217</t>
  </si>
  <si>
    <t>EMP0218</t>
  </si>
  <si>
    <t>EMP0219</t>
  </si>
  <si>
    <t>EMP0220</t>
  </si>
  <si>
    <t>EMP0221</t>
  </si>
  <si>
    <t>EMP0222</t>
  </si>
  <si>
    <t>EMP0223</t>
  </si>
  <si>
    <t>EMP0224</t>
  </si>
  <si>
    <t>EMP0225</t>
  </si>
  <si>
    <t>EMP0226</t>
  </si>
  <si>
    <t>EMP0227</t>
  </si>
  <si>
    <t>EMP0228</t>
  </si>
  <si>
    <t>EMP0229</t>
  </si>
  <si>
    <t>EMP0230</t>
  </si>
  <si>
    <t>EMP0231</t>
  </si>
  <si>
    <t>EMP0232</t>
  </si>
  <si>
    <t>EMP0233</t>
  </si>
  <si>
    <t>EMP0234</t>
  </si>
  <si>
    <t>EMP0235</t>
  </si>
  <si>
    <t>EMP0236</t>
  </si>
  <si>
    <t>EMP0237</t>
  </si>
  <si>
    <t>EMP0238</t>
  </si>
  <si>
    <t>EMP0239</t>
  </si>
  <si>
    <t>EMP0240</t>
  </si>
  <si>
    <t>EMP0241</t>
  </si>
  <si>
    <t>EMP0242</t>
  </si>
  <si>
    <t>EMP0243</t>
  </si>
  <si>
    <t>EMP0244</t>
  </si>
  <si>
    <t>EMP0245</t>
  </si>
  <si>
    <t>EMP0246</t>
  </si>
  <si>
    <t>EMP0247</t>
  </si>
  <si>
    <t>EMP0248</t>
  </si>
  <si>
    <t>EMP0249</t>
  </si>
  <si>
    <t>EMP0250</t>
  </si>
  <si>
    <t>EMP0251</t>
  </si>
  <si>
    <t>EMP0252</t>
  </si>
  <si>
    <t>EMP0253</t>
  </si>
  <si>
    <t>EMP0254</t>
  </si>
  <si>
    <t>EMP0255</t>
  </si>
  <si>
    <t>EMP0256</t>
  </si>
  <si>
    <t>EMP0257</t>
  </si>
  <si>
    <t>EMP0258</t>
  </si>
  <si>
    <t>EMP0259</t>
  </si>
  <si>
    <t>EMP0260</t>
  </si>
  <si>
    <t>EMP0261</t>
  </si>
  <si>
    <t>EMP0262</t>
  </si>
  <si>
    <t>EMP0263</t>
  </si>
  <si>
    <t>EMP0264</t>
  </si>
  <si>
    <t>EMP0265</t>
  </si>
  <si>
    <t>EMP0266</t>
  </si>
  <si>
    <t>EMP0267</t>
  </si>
  <si>
    <t>EMP0268</t>
  </si>
  <si>
    <t>EMP0269</t>
  </si>
  <si>
    <t>EMP0270</t>
  </si>
  <si>
    <t>EMP0271</t>
  </si>
  <si>
    <t>EMP0272</t>
  </si>
  <si>
    <t>EMP0273</t>
  </si>
  <si>
    <t>EMP0274</t>
  </si>
  <si>
    <t>EMP0275</t>
  </si>
  <si>
    <t>EMP0276</t>
  </si>
  <si>
    <t>EMP0277</t>
  </si>
  <si>
    <t>EMP0278</t>
  </si>
  <si>
    <t>EMP0279</t>
  </si>
  <si>
    <t>EMP0280</t>
  </si>
  <si>
    <t>EMP0281</t>
  </si>
  <si>
    <t>EMP0282</t>
  </si>
  <si>
    <t>EMP0283</t>
  </si>
  <si>
    <t>EMP0284</t>
  </si>
  <si>
    <t>EMP0285</t>
  </si>
  <si>
    <t>EMP0286</t>
  </si>
  <si>
    <t>EMP0287</t>
  </si>
  <si>
    <t>EMP0288</t>
  </si>
  <si>
    <t>EMP0289</t>
  </si>
  <si>
    <t>EMP0290</t>
  </si>
  <si>
    <t>EMP0291</t>
  </si>
  <si>
    <t>EMP0292</t>
  </si>
  <si>
    <t>EMP0293</t>
  </si>
  <si>
    <t>EMP0294</t>
  </si>
  <si>
    <t>EMP0295</t>
  </si>
  <si>
    <t>EMP0296</t>
  </si>
  <si>
    <t>EMP0297</t>
  </si>
  <si>
    <t>EMP0298</t>
  </si>
  <si>
    <t>EMP0299</t>
  </si>
  <si>
    <t>EMP0300</t>
  </si>
  <si>
    <t>EMP0301</t>
  </si>
  <si>
    <t>EMP0302</t>
  </si>
  <si>
    <t>EMP0303</t>
  </si>
  <si>
    <t>EMP0304</t>
  </si>
  <si>
    <t>EMP0305</t>
  </si>
  <si>
    <t>EMP0306</t>
  </si>
  <si>
    <t>EMP0307</t>
  </si>
  <si>
    <t>EMP0308</t>
  </si>
  <si>
    <t>EMP0309</t>
  </si>
  <si>
    <t>EMP0310</t>
  </si>
  <si>
    <t>EMP0311</t>
  </si>
  <si>
    <t>EMP0312</t>
  </si>
  <si>
    <t>EMP0313</t>
  </si>
  <si>
    <t>EMP0314</t>
  </si>
  <si>
    <t>EMP0315</t>
  </si>
  <si>
    <t>EMP0316</t>
  </si>
  <si>
    <t>EMP0317</t>
  </si>
  <si>
    <t>EMP0318</t>
  </si>
  <si>
    <t>EMP0319</t>
  </si>
  <si>
    <t>EMP0320</t>
  </si>
  <si>
    <t>EMP0321</t>
  </si>
  <si>
    <t>EMP0322</t>
  </si>
  <si>
    <t>EMP0323</t>
  </si>
  <si>
    <t>EMP0324</t>
  </si>
  <si>
    <t>EMP0325</t>
  </si>
  <si>
    <t>EMP0326</t>
  </si>
  <si>
    <t>EMP0327</t>
  </si>
  <si>
    <t>EMP0328</t>
  </si>
  <si>
    <t>EMP0329</t>
  </si>
  <si>
    <t>EMP0330</t>
  </si>
  <si>
    <t>EMP0331</t>
  </si>
  <si>
    <t>EMP0332</t>
  </si>
  <si>
    <t>EMP0333</t>
  </si>
  <si>
    <t>EMP0334</t>
  </si>
  <si>
    <t>EMP0335</t>
  </si>
  <si>
    <t>Divij Khatri</t>
  </si>
  <si>
    <t>Pari Kalla</t>
  </si>
  <si>
    <t>Himmat Kurian</t>
  </si>
  <si>
    <t>Myra Borah</t>
  </si>
  <si>
    <t>Jayan Walla</t>
  </si>
  <si>
    <t>Yuvraj  Sheth</t>
  </si>
  <si>
    <t>Purab Ravel</t>
  </si>
  <si>
    <t>Tejas Bawa</t>
  </si>
  <si>
    <t>Diya Dugar</t>
  </si>
  <si>
    <t>Kartik Sandal</t>
  </si>
  <si>
    <t>Taran Ahluwalia</t>
  </si>
  <si>
    <t>Ehsaan Vasa</t>
  </si>
  <si>
    <t>Hiran Ramakrishnan</t>
  </si>
  <si>
    <t>Sana Yadav</t>
  </si>
  <si>
    <t>Purab Soman</t>
  </si>
  <si>
    <t>Jhanvi Khanna</t>
  </si>
  <si>
    <t>Shamik Srinivas</t>
  </si>
  <si>
    <t>Prerak Tak</t>
  </si>
  <si>
    <t>Mishti Bose</t>
  </si>
  <si>
    <t>Purab Trivedi</t>
  </si>
  <si>
    <t>Miraya Krishnamurthy</t>
  </si>
  <si>
    <t>Rhea Behl</t>
  </si>
  <si>
    <t>Himmat Gade</t>
  </si>
  <si>
    <t>Romil Sachar</t>
  </si>
  <si>
    <t>Kiara Bala</t>
  </si>
  <si>
    <t>Advik Shere</t>
  </si>
  <si>
    <t>Vivaan Char</t>
  </si>
  <si>
    <t>Hrishita Yogi</t>
  </si>
  <si>
    <t>Prerak Dua</t>
  </si>
  <si>
    <t>Veer Khalsa</t>
  </si>
  <si>
    <t>Ishita Bahl</t>
  </si>
  <si>
    <t>Ivana Rau</t>
  </si>
  <si>
    <t>Samarth Ahluwalia</t>
  </si>
  <si>
    <t>Hrishita Lad</t>
  </si>
  <si>
    <t>Anahita Bath</t>
  </si>
  <si>
    <t>Advik Bava</t>
  </si>
  <si>
    <t>Oorja Maharaj</t>
  </si>
  <si>
    <t>Azad Sarraf</t>
  </si>
  <si>
    <t>Badal Dua</t>
  </si>
  <si>
    <t>Badal Kulkarni</t>
  </si>
  <si>
    <t>Ivana Sibal</t>
  </si>
  <si>
    <t>Gokul Deo</t>
  </si>
  <si>
    <t>Ira Sarin</t>
  </si>
  <si>
    <t>Armaan Dora</t>
  </si>
  <si>
    <t>Anahi Sama</t>
  </si>
  <si>
    <t>Hazel Koshy</t>
  </si>
  <si>
    <t>Hunar Sawhney</t>
  </si>
  <si>
    <t>Farhan Upadhyay</t>
  </si>
  <si>
    <t>Mannat Kadakia</t>
  </si>
  <si>
    <t>Ranbir Madan</t>
  </si>
  <si>
    <t>Bhamini Chawla</t>
  </si>
  <si>
    <t>Purab Lanka</t>
  </si>
  <si>
    <t>Prisha Kumar</t>
  </si>
  <si>
    <t>Advik Chhabra</t>
  </si>
  <si>
    <t>Sara Singh</t>
  </si>
  <si>
    <t>Onkar Comar</t>
  </si>
  <si>
    <t>Ivana Chacko</t>
  </si>
  <si>
    <t>Shray Raval</t>
  </si>
  <si>
    <t>Jivika Wali</t>
  </si>
  <si>
    <t>Armaan Uppal</t>
  </si>
  <si>
    <t>Shayak Bose</t>
  </si>
  <si>
    <t>Lavanya Gola</t>
  </si>
  <si>
    <t>Tejas Bal</t>
  </si>
  <si>
    <t>Mohanlal Bera</t>
  </si>
  <si>
    <t>Mishti Trivedi</t>
  </si>
  <si>
    <t>Shayak Batta</t>
  </si>
  <si>
    <t>Divit Chakrabarti</t>
  </si>
  <si>
    <t>Siya Ravel</t>
  </si>
  <si>
    <t>Sana Iyer</t>
  </si>
  <si>
    <t>Aaryahi Bhakta</t>
  </si>
  <si>
    <t>Rasha Dugar</t>
  </si>
  <si>
    <t>Vidur Kothari</t>
  </si>
  <si>
    <t>Pari Goyal</t>
  </si>
  <si>
    <t>Tiya Khalsa</t>
  </si>
  <si>
    <t>Navya Ramanathan</t>
  </si>
  <si>
    <t>Nakul Dugar</t>
  </si>
  <si>
    <t>Emir Sathe</t>
  </si>
  <si>
    <t>Ahana  Sachdev</t>
  </si>
  <si>
    <t>Krish Rana</t>
  </si>
  <si>
    <t>Vritika Talwar</t>
  </si>
  <si>
    <t>Yasmin Hayer</t>
  </si>
  <si>
    <t>Prerak Kata</t>
  </si>
  <si>
    <t>Inaaya  Wali</t>
  </si>
  <si>
    <t>Bhavin Bose</t>
  </si>
  <si>
    <t>Ehsaan Bath</t>
  </si>
  <si>
    <t>Nehmat Dhar</t>
  </si>
  <si>
    <t>Yasmin Ganesan</t>
  </si>
  <si>
    <t>Raghav Swamy</t>
  </si>
  <si>
    <t>Alia Gill</t>
  </si>
  <si>
    <t>Riaan Dhar</t>
  </si>
  <si>
    <t>Pihu Garde</t>
  </si>
  <si>
    <t>Ahana  Sathe</t>
  </si>
  <si>
    <t>Badal Goda</t>
  </si>
  <si>
    <t>Ranbir Karan</t>
  </si>
  <si>
    <t>Sara Ganesh</t>
  </si>
  <si>
    <t>Lakshit Tella</t>
  </si>
  <si>
    <t>Jayesh Rau</t>
  </si>
  <si>
    <t>Vihaan Konda</t>
  </si>
  <si>
    <t>Nirvaan Varma</t>
  </si>
  <si>
    <t>Ivana Choudhary</t>
  </si>
  <si>
    <t>Hrishita Aurora</t>
  </si>
  <si>
    <t>Zeeshan Hari</t>
  </si>
  <si>
    <t>Vardaniya Thakur</t>
  </si>
  <si>
    <t>Kiara Salvi</t>
  </si>
  <si>
    <t>Hiran Khare</t>
  </si>
  <si>
    <t>Baiju Dewan</t>
  </si>
  <si>
    <t>Veer Keer</t>
  </si>
  <si>
    <t>Divyansh Sachdev</t>
  </si>
  <si>
    <t>Lagan Kumer</t>
  </si>
  <si>
    <t>Rasha Ahuja</t>
  </si>
  <si>
    <t>Hazel Kakar</t>
  </si>
  <si>
    <t>Rohan Bail</t>
  </si>
  <si>
    <t>Raunak Borra</t>
  </si>
  <si>
    <t>Yakshit Kadakia</t>
  </si>
  <si>
    <t>Samarth Bobal</t>
  </si>
  <si>
    <t>Ayesha Jhaveri</t>
  </si>
  <si>
    <t>Vihaan Ahluwalia</t>
  </si>
  <si>
    <t>Vedika Raju</t>
  </si>
  <si>
    <t>Lavanya Ray</t>
  </si>
  <si>
    <t>Advik Bhardwaj</t>
  </si>
  <si>
    <t>Lakshit Uppal</t>
  </si>
  <si>
    <t>Parinaaz Dara</t>
  </si>
  <si>
    <t>Pari Chawla</t>
  </si>
  <si>
    <t>Suhana Biswas</t>
  </si>
  <si>
    <t>Zeeshan Atwal</t>
  </si>
  <si>
    <t>Taran Johal</t>
  </si>
  <si>
    <t>Urvi Sekhon</t>
  </si>
  <si>
    <t>Navya Kale</t>
  </si>
  <si>
    <t>Renee Uppal</t>
  </si>
  <si>
    <t>Dhanush Gala</t>
  </si>
  <si>
    <t>Darshit Din</t>
  </si>
  <si>
    <t>Hazel Choudhary</t>
  </si>
  <si>
    <t>Ritvik Hans</t>
  </si>
  <si>
    <t>Lagan Bumb</t>
  </si>
  <si>
    <t>Neelofar Swamy</t>
  </si>
  <si>
    <t>Prisha Singhal</t>
  </si>
  <si>
    <t>Hazel Buch</t>
  </si>
  <si>
    <t>Raghav Date</t>
  </si>
  <si>
    <t>Kabir Ghose</t>
  </si>
  <si>
    <t>Hrishita Ravi</t>
  </si>
  <si>
    <t>Tarini Mahal</t>
  </si>
  <si>
    <t>Pihu Sachdeva</t>
  </si>
  <si>
    <t>Urvi Mandal</t>
  </si>
  <si>
    <t>Suhana Bhandari</t>
  </si>
  <si>
    <t>Anay Wable</t>
  </si>
  <si>
    <t>Alia Raman</t>
  </si>
  <si>
    <t>Riya Ahuja</t>
  </si>
  <si>
    <t>Pari Anand</t>
  </si>
  <si>
    <t>Farhan Raman</t>
  </si>
  <si>
    <t>Riya Kuruvilla</t>
  </si>
  <si>
    <t>Kiaan Dutt</t>
  </si>
  <si>
    <t>Elakshi Deo</t>
  </si>
  <si>
    <t>Kanav Thakkar</t>
  </si>
  <si>
    <t>Manikya Comar</t>
  </si>
  <si>
    <t>Mehul Rajan</t>
  </si>
  <si>
    <t>Arnav Choudhury</t>
  </si>
  <si>
    <t>Anika Raj</t>
  </si>
  <si>
    <t>Suhana Chatterjee</t>
  </si>
  <si>
    <t>Devansh Kara</t>
  </si>
  <si>
    <t>Shalv Batra</t>
  </si>
  <si>
    <t>Kiaan Bhavsar</t>
  </si>
  <si>
    <t>Tarini Bhat</t>
  </si>
  <si>
    <t>Aarna Kalita</t>
  </si>
  <si>
    <t>Mehul Guha</t>
  </si>
  <si>
    <t>Diya Zacharia</t>
  </si>
  <si>
    <t>Fateh Luthra</t>
  </si>
  <si>
    <t>Keya Toor</t>
  </si>
  <si>
    <t>Hiran Guha</t>
  </si>
  <si>
    <t>Samiha Bedi</t>
  </si>
  <si>
    <t>Nirvi Gera</t>
  </si>
  <si>
    <t>Anaya Jayaraman</t>
  </si>
  <si>
    <t>Shaan Singhal</t>
  </si>
  <si>
    <t>Anahi Mallick</t>
  </si>
  <si>
    <t>Mishti Setty</t>
  </si>
  <si>
    <t>Diya Mangal</t>
  </si>
  <si>
    <t>Adira Krishnamurthy</t>
  </si>
  <si>
    <t>Amani Sinha</t>
  </si>
  <si>
    <t>Reyansh Chander</t>
  </si>
  <si>
    <t>Jivin Sama</t>
  </si>
  <si>
    <t>Tushar Bera</t>
  </si>
  <si>
    <t>Rasha Bajaj</t>
  </si>
  <si>
    <t>Tarini Ghosh</t>
  </si>
  <si>
    <t>Charvi Kibe</t>
  </si>
  <si>
    <t>Jivin Balakrishnan</t>
  </si>
  <si>
    <t>Kavya Solanki</t>
  </si>
  <si>
    <t>Indranil Badal</t>
  </si>
  <si>
    <t>Zaina Goyal</t>
  </si>
  <si>
    <t>Eshani Wadhwa</t>
  </si>
  <si>
    <t>Onkar Lanka</t>
  </si>
  <si>
    <t>Siya Cheema</t>
  </si>
  <si>
    <t>Samar Srinivasan</t>
  </si>
  <si>
    <t>Hridaan Raj</t>
  </si>
  <si>
    <t>Ryan Sharaf</t>
  </si>
  <si>
    <t>Ira Brar</t>
  </si>
  <si>
    <t>Ojas Rajagopal</t>
  </si>
  <si>
    <t>Elakshi Sachar</t>
  </si>
  <si>
    <t>Advika Zacharia</t>
  </si>
  <si>
    <t>Aaryahi Dayal</t>
  </si>
  <si>
    <t>Kabir Yogi</t>
  </si>
  <si>
    <t>Piya Char</t>
  </si>
  <si>
    <t>Riya Grover</t>
  </si>
  <si>
    <t>Eshani Boase</t>
  </si>
  <si>
    <t>Pari Chand</t>
  </si>
  <si>
    <t>Trisha Sathe</t>
  </si>
  <si>
    <t>Anahi Ramaswamy</t>
  </si>
  <si>
    <t>Anaya Goel</t>
  </si>
  <si>
    <t>Ranbir Kara</t>
  </si>
  <si>
    <t>Lagan Vasa</t>
  </si>
  <si>
    <t>Kartik Luthra</t>
  </si>
  <si>
    <t>Indranil Kota</t>
  </si>
  <si>
    <t>Azad Singhal</t>
  </si>
  <si>
    <t>Pari Varty</t>
  </si>
  <si>
    <t>Farhan Golla</t>
  </si>
  <si>
    <t>Dhanush Batra</t>
  </si>
  <si>
    <t>Diya Sarna</t>
  </si>
  <si>
    <t>Krish Din</t>
  </si>
  <si>
    <t>Mahika Konda</t>
  </si>
  <si>
    <t>Saksham Mall</t>
  </si>
  <si>
    <t>Adah Ramaswamy</t>
  </si>
  <si>
    <t>Mannat Roy</t>
  </si>
  <si>
    <t>Saksham Bhatti</t>
  </si>
  <si>
    <t>Kismat Krishnan</t>
  </si>
  <si>
    <t>Arhaan Buch</t>
  </si>
  <si>
    <t>Aarav Tak</t>
  </si>
  <si>
    <t>Adira Sachdev</t>
  </si>
  <si>
    <t>Nirvaan Doctor</t>
  </si>
  <si>
    <t>Vanya Swamy</t>
  </si>
  <si>
    <t>Arnav Soman</t>
  </si>
  <si>
    <t>Ishita Biswas</t>
  </si>
  <si>
    <t>Nirvi Chana</t>
  </si>
  <si>
    <t>Kartik Kala</t>
  </si>
  <si>
    <t>Shanaya Gill</t>
  </si>
  <si>
    <t>Eva Badami</t>
  </si>
  <si>
    <t>Nitya Hayer</t>
  </si>
  <si>
    <t>Divit Joshi</t>
  </si>
  <si>
    <t>Vaibhav Seth</t>
  </si>
  <si>
    <t>Ivana Badal</t>
  </si>
  <si>
    <t>Vihaan Rege</t>
  </si>
  <si>
    <t>Yasmin Khosla</t>
  </si>
  <si>
    <t>Bhavin Choudhry</t>
  </si>
  <si>
    <t>Rati Edwin</t>
  </si>
  <si>
    <t>Purab Sundaram</t>
  </si>
  <si>
    <t>Zain Venkatesh</t>
  </si>
  <si>
    <t>Elakshi Chaudhary</t>
  </si>
  <si>
    <t>Samaira Yadav</t>
  </si>
  <si>
    <t>Suhana Dada</t>
  </si>
  <si>
    <t>Aniruddh Sood</t>
  </si>
  <si>
    <t>Saira Dhingra</t>
  </si>
  <si>
    <t>Krish Borde</t>
  </si>
  <si>
    <t>Pranay Sridhar</t>
  </si>
  <si>
    <t>Uthkarsh Mani</t>
  </si>
  <si>
    <t>Samar Dugar</t>
  </si>
  <si>
    <t>Nitara Bandi</t>
  </si>
  <si>
    <t>Bhamini Amble</t>
  </si>
  <si>
    <t>Rhea Varughese</t>
  </si>
  <si>
    <t>Mannat Krishnamurthy</t>
  </si>
  <si>
    <t>Prerak Gupta</t>
  </si>
  <si>
    <t>Shayak Sarin</t>
  </si>
  <si>
    <t>Eva Chacko</t>
  </si>
  <si>
    <t>Anvi Sunder</t>
  </si>
  <si>
    <t>Rohan Wagle</t>
  </si>
  <si>
    <t>Miraan Dewan</t>
  </si>
  <si>
    <t>Nitya Ramakrishnan</t>
  </si>
  <si>
    <t>Lakshit Apte</t>
  </si>
  <si>
    <t>Saanvi Vaidya</t>
  </si>
  <si>
    <t>Lakshit Borde</t>
  </si>
  <si>
    <t>Tushar Bhagat</t>
  </si>
  <si>
    <t>Rasha Lad</t>
  </si>
  <si>
    <t>Oorja Date</t>
  </si>
  <si>
    <t>Shalv Bhalla</t>
  </si>
  <si>
    <t>Kismat Hayer</t>
  </si>
  <si>
    <t>Indrajit Cheema</t>
  </si>
  <si>
    <t>Ranbir Gola</t>
  </si>
  <si>
    <t>Advik Edwin</t>
  </si>
  <si>
    <t>Aayush Ramachandran</t>
  </si>
  <si>
    <t>Vedika Soman</t>
  </si>
  <si>
    <t>Renee Raja</t>
  </si>
  <si>
    <t>Ishaan Chaudhari</t>
  </si>
  <si>
    <t>Lakshit Varghese</t>
  </si>
  <si>
    <t>Aarav Buch</t>
  </si>
  <si>
    <t>Sara Chahal</t>
  </si>
  <si>
    <t>Krish Krishna</t>
  </si>
  <si>
    <t>Aradhya Loyal</t>
  </si>
  <si>
    <t>Misha Bhat</t>
  </si>
  <si>
    <t>Reyansh Kulkarni</t>
  </si>
  <si>
    <t>Gatik Deep</t>
  </si>
  <si>
    <t>Tarini Dora</t>
  </si>
  <si>
    <t>Vaibhav Gara</t>
  </si>
  <si>
    <t>Charvi Bhagat</t>
  </si>
  <si>
    <t>Vedika Bains</t>
  </si>
  <si>
    <t>Hazel Sawhney</t>
  </si>
  <si>
    <t>Kanav Rajan</t>
  </si>
  <si>
    <t>Hiran Dua</t>
  </si>
  <si>
    <t>Mehul Kakar</t>
  </si>
  <si>
    <t>Kashvi Loyal</t>
  </si>
  <si>
    <t>Samiha Chopra</t>
  </si>
  <si>
    <t>Jivin Gupta</t>
  </si>
  <si>
    <t>Samiha Thakkar</t>
  </si>
  <si>
    <t>Hazel Kar</t>
  </si>
  <si>
    <t>Darshit Devi</t>
  </si>
  <si>
    <t>Prerak Dalal</t>
  </si>
  <si>
    <t>Hansh Sen</t>
  </si>
  <si>
    <t>Tara Borah</t>
  </si>
  <si>
    <t>Nayantara Kant</t>
  </si>
  <si>
    <t>Shaan Lata</t>
  </si>
  <si>
    <t>Kaira Yohannan</t>
  </si>
  <si>
    <t>Nirvi Chaudhuri</t>
  </si>
  <si>
    <t>Emir Johal</t>
  </si>
  <si>
    <t>Anika Korpal</t>
  </si>
  <si>
    <t>Abram Soman</t>
  </si>
  <si>
    <t>Jayant Bora</t>
  </si>
  <si>
    <t>Darshit Chahal</t>
  </si>
  <si>
    <t>Nehmat Dani</t>
  </si>
  <si>
    <t>Riaan Sastry</t>
  </si>
  <si>
    <t>Advika Bajaj</t>
  </si>
  <si>
    <t>Nirvaan Verma</t>
  </si>
  <si>
    <t>Samiha Mander</t>
  </si>
  <si>
    <t>Pihu Sankar</t>
  </si>
  <si>
    <t>Nirvaan Aggarwal</t>
  </si>
  <si>
    <t>Tarini Issac</t>
  </si>
  <si>
    <t>Aarush Sekhon</t>
  </si>
  <si>
    <t>Jivika Dutta</t>
  </si>
  <si>
    <t>Samar Kapadia</t>
  </si>
  <si>
    <t>Kanav Rao</t>
  </si>
  <si>
    <t>Ayesha Chakrabarti</t>
  </si>
  <si>
    <t>Jhanvi Lanka</t>
  </si>
  <si>
    <t>Yuvaan Hayre</t>
  </si>
  <si>
    <t>Saira Kade</t>
  </si>
  <si>
    <t>Shaan Hora</t>
  </si>
  <si>
    <t>Ehsaan Anne</t>
  </si>
  <si>
    <t>Diya Salvi</t>
  </si>
  <si>
    <t>Adah Hayer</t>
  </si>
  <si>
    <t>Vardaniya Sampath</t>
  </si>
  <si>
    <t>Jayesh Dara</t>
  </si>
  <si>
    <t>Himmat Sankaran</t>
  </si>
  <si>
    <t>Finance</t>
  </si>
  <si>
    <t>Sales</t>
  </si>
  <si>
    <t>Operations</t>
  </si>
  <si>
    <t>Marketing</t>
  </si>
  <si>
    <t>IT</t>
  </si>
  <si>
    <t>HR</t>
  </si>
  <si>
    <t>Executive</t>
  </si>
  <si>
    <t>Analyst</t>
  </si>
  <si>
    <t>Manager</t>
  </si>
  <si>
    <t>Associate</t>
  </si>
  <si>
    <t>Coordinator</t>
  </si>
  <si>
    <t>Pune</t>
  </si>
  <si>
    <t>Thane</t>
  </si>
  <si>
    <t>Nashik</t>
  </si>
  <si>
    <t>Nagpur</t>
  </si>
  <si>
    <t>Mumbai</t>
  </si>
  <si>
    <t>Office</t>
  </si>
  <si>
    <t>Hybrid</t>
  </si>
  <si>
    <t>WFH</t>
  </si>
  <si>
    <t>Yes</t>
  </si>
  <si>
    <t>No</t>
  </si>
  <si>
    <t>Age Group</t>
  </si>
  <si>
    <t>Salary Band</t>
  </si>
  <si>
    <t>Row Labels</t>
  </si>
  <si>
    <t>Grand Total</t>
  </si>
  <si>
    <t>Count of employee_id</t>
  </si>
  <si>
    <t>Average of salary</t>
  </si>
  <si>
    <t>Average of attendance_percent</t>
  </si>
  <si>
    <t>36-45</t>
  </si>
  <si>
    <t>high</t>
  </si>
  <si>
    <t>26-35</t>
  </si>
  <si>
    <t>low</t>
  </si>
  <si>
    <t>46+</t>
  </si>
  <si>
    <t>medium</t>
  </si>
  <si>
    <t>21-25</t>
  </si>
  <si>
    <t>Count of attrition</t>
  </si>
  <si>
    <t>total Employees</t>
  </si>
  <si>
    <t>avg Salary</t>
  </si>
  <si>
    <t>avg attendence</t>
  </si>
  <si>
    <t>Attrition 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</si>
</sst>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pivotButton="1"/>
    <xf numFmtId="0" fontId="0" fillId="0" borderId="0" xfId="0" applyAlignment="1">
      <alignment horizontal="left"/>
    </xf>
    <xf numFmtId="0" fontId="0" fillId="0" borderId="0" xfId="0" applyNumberFormat="1"/>
    <xf numFmtId="22" fontId="0" fillId="0" borderId="0" xfId="0" applyNumberFormat="1"/>
    <xf numFmtId="14" fontId="0" fillId="0" borderId="0" xfId="0" applyNumberFormat="1"/>
  </cellXfs>
  <cellStyles count="1">
    <cellStyle name="Normal" xfId="0" builtinId="0"/>
  </cellStyles>
  <dxfs count="4">
    <dxf>
      <numFmt numFmtId="19" formatCode="dd/mm/yyyy"/>
    </dxf>
    <dxf>
      <numFmt numFmtId="19" formatCode="dd/mm/yyyy"/>
    </dxf>
    <dxf>
      <numFmt numFmtId="27" formatCode="dd/mm/yyyy\ hh:mm"/>
    </dxf>
    <dxf>
      <numFmt numFmtId="27" formatCode="dd/mm/yyyy\ hh:mm"/>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onnections" Target="connection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[HR_MIS__.xlsx]Sheet8!PivotTable7</c:name>
    <c:fmtId val="3"/>
  </c:pivotSource>
  <c:chart>
    <c:title>
      <c:tx>
        <c:rich>
          <a:bodyPr rot="0" spcFirstLastPara="1" vertOverflow="ellipsis" vert="horz" wrap="square" anchor="ctr" anchorCtr="1"/>
          <a:lstStyle/>
          <a:p>
            <a:pPr>
              <a:defRPr sz="1000" b="1" i="0" u="none" strike="noStrike" kern="1200" baseline="0">
                <a:solidFill>
                  <a:schemeClr val="dk1">
                    <a:lumMod val="65000"/>
                    <a:lumOff val="35000"/>
                  </a:schemeClr>
                </a:solidFill>
                <a:effectLst/>
                <a:latin typeface="+mn-lt"/>
                <a:ea typeface="+mn-ea"/>
                <a:cs typeface="+mn-cs"/>
              </a:defRPr>
            </a:pPr>
            <a:r>
              <a:rPr lang="en-US" sz="1000" b="1"/>
              <a:t>Employees per Department</a:t>
            </a:r>
          </a:p>
        </c:rich>
      </c:tx>
      <c:layout/>
      <c:overlay val="0"/>
      <c:spPr>
        <a:noFill/>
        <a:ln>
          <a:noFill/>
        </a:ln>
        <a:effectLst/>
      </c:spPr>
      <c:txPr>
        <a:bodyPr rot="0" spcFirstLastPara="1" vertOverflow="ellipsis" vert="horz" wrap="square" anchor="ctr" anchorCtr="1"/>
        <a:lstStyle/>
        <a:p>
          <a:pPr>
            <a:defRPr sz="1000" b="1" i="0" u="none" strike="noStrike" kern="1200" baseline="0">
              <a:solidFill>
                <a:schemeClr val="dk1">
                  <a:lumMod val="65000"/>
                  <a:lumOff val="35000"/>
                </a:schemeClr>
              </a:solidFill>
              <a:effectLst/>
              <a:latin typeface="+mn-lt"/>
              <a:ea typeface="+mn-ea"/>
              <a:cs typeface="+mn-cs"/>
            </a:defRPr>
          </a:pPr>
          <a:endParaRPr lang="en-US"/>
        </a:p>
      </c:txPr>
    </c:title>
    <c:autoTitleDeleted val="0"/>
    <c:pivotFmts>
      <c:pivotFmt>
        <c:idx val="0"/>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5"/>
      </c:pivotFmt>
      <c:pivotFmt>
        <c:idx val="6"/>
        <c:dLbl>
          <c:idx val="0"/>
          <c:layout/>
          <c:dLblPos val="inEnd"/>
          <c:showLegendKey val="0"/>
          <c:showVal val="1"/>
          <c:showCatName val="0"/>
          <c:showSerName val="0"/>
          <c:showPercent val="0"/>
          <c:showBubbleSize val="0"/>
          <c:extLst>
            <c:ext xmlns:c15="http://schemas.microsoft.com/office/drawing/2012/chart" uri="{CE6537A1-D6FC-4f65-9D91-7224C49458BB}">
              <c15:layout/>
            </c:ext>
          </c:extLst>
        </c:dLbl>
      </c:pivotFmt>
      <c:pivotFmt>
        <c:idx val="7"/>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symbol val="circle"/>
          <c:size val="6"/>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Sheet8!$B$3</c:f>
              <c:strCache>
                <c:ptCount val="1"/>
                <c:pt idx="0">
                  <c:v>Total</c:v>
                </c:pt>
              </c:strCache>
            </c:strRef>
          </c:tx>
          <c:spPr>
            <a:gradFill>
              <a:gsLst>
                <a:gs pos="0">
                  <a:schemeClr val="accent1"/>
                </a:gs>
                <a:gs pos="100000">
                  <a:schemeClr val="accent1">
                    <a:lumMod val="84000"/>
                  </a:schemeClr>
                </a:gs>
              </a:gsLst>
              <a:lin ang="5400000" scaled="1"/>
            </a:gradFill>
            <a:ln>
              <a:noFill/>
            </a:ln>
            <a:effectLst>
              <a:outerShdw blurRad="76200" dir="18900000" sy="23000" kx="-1200000" algn="bl" rotWithShape="0">
                <a:prstClr val="black">
                  <a:alpha val="2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50000"/>
                          <a:lumOff val="50000"/>
                        </a:schemeClr>
                      </a:solidFill>
                    </a:ln>
                    <a:effectLst/>
                  </c:spPr>
                </c15:leaderLines>
              </c:ext>
            </c:extLst>
          </c:dLbls>
          <c:cat>
            <c:strRef>
              <c:f>Sheet8!$A$4:$A$10</c:f>
              <c:strCache>
                <c:ptCount val="6"/>
                <c:pt idx="0">
                  <c:v>Finance</c:v>
                </c:pt>
                <c:pt idx="1">
                  <c:v>HR</c:v>
                </c:pt>
                <c:pt idx="2">
                  <c:v>IT</c:v>
                </c:pt>
                <c:pt idx="3">
                  <c:v>Marketing</c:v>
                </c:pt>
                <c:pt idx="4">
                  <c:v>Operations</c:v>
                </c:pt>
                <c:pt idx="5">
                  <c:v>Sales</c:v>
                </c:pt>
              </c:strCache>
            </c:strRef>
          </c:cat>
          <c:val>
            <c:numRef>
              <c:f>Sheet8!$B$4:$B$10</c:f>
              <c:numCache>
                <c:formatCode>General</c:formatCode>
                <c:ptCount val="6"/>
                <c:pt idx="0">
                  <c:v>52</c:v>
                </c:pt>
                <c:pt idx="1">
                  <c:v>54</c:v>
                </c:pt>
                <c:pt idx="2">
                  <c:v>61</c:v>
                </c:pt>
                <c:pt idx="3">
                  <c:v>64</c:v>
                </c:pt>
                <c:pt idx="4">
                  <c:v>54</c:v>
                </c:pt>
                <c:pt idx="5">
                  <c:v>50</c:v>
                </c:pt>
              </c:numCache>
            </c:numRef>
          </c:val>
          <c:extLst>
            <c:ext xmlns:c16="http://schemas.microsoft.com/office/drawing/2014/chart" uri="{C3380CC4-5D6E-409C-BE32-E72D297353CC}">
              <c16:uniqueId val="{00000000-1140-43C9-A8D6-5E9888975B04}"/>
            </c:ext>
          </c:extLst>
        </c:ser>
        <c:dLbls>
          <c:dLblPos val="inEnd"/>
          <c:showLegendKey val="0"/>
          <c:showVal val="1"/>
          <c:showCatName val="0"/>
          <c:showSerName val="0"/>
          <c:showPercent val="0"/>
          <c:showBubbleSize val="0"/>
        </c:dLbls>
        <c:gapWidth val="41"/>
        <c:axId val="664189512"/>
        <c:axId val="808930456"/>
      </c:barChart>
      <c:catAx>
        <c:axId val="66418951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effectLst/>
                <a:latin typeface="+mn-lt"/>
                <a:ea typeface="+mn-ea"/>
                <a:cs typeface="+mn-cs"/>
              </a:defRPr>
            </a:pPr>
            <a:endParaRPr lang="en-US"/>
          </a:p>
        </c:txPr>
        <c:crossAx val="808930456"/>
        <c:crosses val="autoZero"/>
        <c:auto val="1"/>
        <c:lblAlgn val="ctr"/>
        <c:lblOffset val="100"/>
        <c:noMultiLvlLbl val="0"/>
      </c:catAx>
      <c:valAx>
        <c:axId val="808930456"/>
        <c:scaling>
          <c:orientation val="minMax"/>
        </c:scaling>
        <c:delete val="1"/>
        <c:axPos val="l"/>
        <c:numFmt formatCode="General" sourceLinked="1"/>
        <c:majorTickMark val="none"/>
        <c:minorTickMark val="none"/>
        <c:tickLblPos val="nextTo"/>
        <c:crossAx val="664189512"/>
        <c:crosses val="autoZero"/>
        <c:crossBetween val="between"/>
      </c:valAx>
      <c:spPr>
        <a:noFill/>
        <a:ln>
          <a:noFill/>
        </a:ln>
        <a:effectLst/>
      </c:spPr>
    </c:plotArea>
    <c:plotVisOnly val="1"/>
    <c:dispBlanksAs val="gap"/>
    <c:showDLblsOverMax val="0"/>
  </c:chart>
  <c: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accent6"/>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[HR_MIS__.xlsx]Sheet8!PivotTable9</c:name>
    <c:fmtId val="3"/>
  </c:pivotSource>
  <c:chart>
    <c:title>
      <c:tx>
        <c:rich>
          <a:bodyPr rot="0" spcFirstLastPara="1" vertOverflow="ellipsis" vert="horz" wrap="square" anchor="ctr" anchorCtr="1"/>
          <a:lstStyle/>
          <a:p>
            <a:pPr>
              <a:defRPr sz="1000" b="1" i="0" u="none" strike="noStrike" kern="1200" cap="none" spc="20" baseline="0">
                <a:solidFill>
                  <a:schemeClr val="dk1">
                    <a:lumMod val="50000"/>
                    <a:lumOff val="50000"/>
                  </a:schemeClr>
                </a:solidFill>
                <a:latin typeface="+mn-lt"/>
                <a:ea typeface="+mn-ea"/>
                <a:cs typeface="+mn-cs"/>
              </a:defRPr>
            </a:pPr>
            <a:r>
              <a:rPr lang="en-US" sz="1000" b="1"/>
              <a:t>Attention by Departments</a:t>
            </a:r>
          </a:p>
        </c:rich>
      </c:tx>
      <c:layout/>
      <c:overlay val="0"/>
      <c:spPr>
        <a:noFill/>
        <a:ln>
          <a:noFill/>
        </a:ln>
        <a:effectLst/>
      </c:spPr>
      <c:txPr>
        <a:bodyPr rot="0" spcFirstLastPara="1" vertOverflow="ellipsis" vert="horz" wrap="square" anchor="ctr" anchorCtr="1"/>
        <a:lstStyle/>
        <a:p>
          <a:pPr>
            <a:defRPr sz="1000" b="1" i="0" u="none" strike="noStrike" kern="1200" cap="none" spc="20" baseline="0">
              <a:solidFill>
                <a:schemeClr val="dk1">
                  <a:lumMod val="50000"/>
                  <a:lumOff val="50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pivotFmt>
    </c:pivotFmts>
    <c:plotArea>
      <c:layout/>
      <c:lineChart>
        <c:grouping val="standard"/>
        <c:varyColors val="0"/>
        <c:ser>
          <c:idx val="0"/>
          <c:order val="0"/>
          <c:tx>
            <c:strRef>
              <c:f>Sheet8!$H$3</c:f>
              <c:strCache>
                <c:ptCount val="1"/>
                <c:pt idx="0">
                  <c:v>Total</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cat>
            <c:strRef>
              <c:f>Sheet8!$G$4:$G$10</c:f>
              <c:strCache>
                <c:ptCount val="6"/>
                <c:pt idx="0">
                  <c:v>Finance</c:v>
                </c:pt>
                <c:pt idx="1">
                  <c:v>HR</c:v>
                </c:pt>
                <c:pt idx="2">
                  <c:v>IT</c:v>
                </c:pt>
                <c:pt idx="3">
                  <c:v>Marketing</c:v>
                </c:pt>
                <c:pt idx="4">
                  <c:v>Operations</c:v>
                </c:pt>
                <c:pt idx="5">
                  <c:v>Sales</c:v>
                </c:pt>
              </c:strCache>
            </c:strRef>
          </c:cat>
          <c:val>
            <c:numRef>
              <c:f>Sheet8!$H$4:$H$10</c:f>
              <c:numCache>
                <c:formatCode>General</c:formatCode>
                <c:ptCount val="6"/>
                <c:pt idx="0">
                  <c:v>85.634615384615387</c:v>
                </c:pt>
                <c:pt idx="1">
                  <c:v>83.833333333333329</c:v>
                </c:pt>
                <c:pt idx="2">
                  <c:v>85.393442622950815</c:v>
                </c:pt>
                <c:pt idx="3">
                  <c:v>83.953125</c:v>
                </c:pt>
                <c:pt idx="4">
                  <c:v>86.5</c:v>
                </c:pt>
                <c:pt idx="5">
                  <c:v>84.66</c:v>
                </c:pt>
              </c:numCache>
            </c:numRef>
          </c:val>
          <c:smooth val="0"/>
          <c:extLst>
            <c:ext xmlns:c16="http://schemas.microsoft.com/office/drawing/2014/chart" uri="{C3380CC4-5D6E-409C-BE32-E72D297353CC}">
              <c16:uniqueId val="{00000000-6CBF-4E27-A492-1B0690E2017E}"/>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316303752"/>
        <c:axId val="316302768"/>
      </c:lineChart>
      <c:catAx>
        <c:axId val="316303752"/>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316302768"/>
        <c:crosses val="autoZero"/>
        <c:auto val="1"/>
        <c:lblAlgn val="ctr"/>
        <c:lblOffset val="100"/>
        <c:noMultiLvlLbl val="0"/>
      </c:catAx>
      <c:valAx>
        <c:axId val="31630276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316303752"/>
        <c:crosses val="autoZero"/>
        <c:crossBetween val="between"/>
      </c:valAx>
      <c:spPr>
        <a:gradFill>
          <a:gsLst>
            <a:gs pos="100000">
              <a:schemeClr val="lt1">
                <a:lumMod val="95000"/>
              </a:schemeClr>
            </a:gs>
            <a:gs pos="0">
              <a:schemeClr val="lt1"/>
            </a:gs>
          </a:gsLst>
          <a:lin ang="5400000" scaled="0"/>
        </a:gradFill>
        <a:ln>
          <a:noFill/>
        </a:ln>
        <a:effectLst/>
      </c:spPr>
    </c:plotArea>
    <c:plotVisOnly val="1"/>
    <c:dispBlanksAs val="gap"/>
    <c:showDLblsOverMax val="0"/>
  </c:chart>
  <c:spPr>
    <a:solidFill>
      <a:schemeClr val="lt1"/>
    </a:solidFill>
    <a:ln w="9525" cap="flat" cmpd="sng" algn="ctr">
      <a:solidFill>
        <a:schemeClr val="accent6"/>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[HR_MIS__.xlsx]Sheet8!PivotTable8</c:name>
    <c:fmtId val="3"/>
  </c:pivotSource>
  <c:chart>
    <c:title>
      <c:tx>
        <c:rich>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r>
              <a:rPr lang="en-US" sz="1000">
                <a:solidFill>
                  <a:schemeClr val="tx1"/>
                </a:solidFill>
              </a:rPr>
              <a:t>Avg Salary by Department</a:t>
            </a:r>
          </a:p>
        </c:rich>
      </c:tx>
      <c:layout/>
      <c:overlay val="0"/>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title>
    <c:autoTitleDeleted val="0"/>
    <c:pivotFmts>
      <c:pivotFmt>
        <c:idx val="0"/>
      </c:pivotFmt>
      <c:pivotFmt>
        <c:idx val="1"/>
      </c:pivotFmt>
      <c:pivotFmt>
        <c:idx val="2"/>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4"/>
        <c:dLbl>
          <c:idx val="0"/>
          <c:layout/>
          <c:dLblPos val="inEnd"/>
          <c:showLegendKey val="0"/>
          <c:showVal val="1"/>
          <c:showCatName val="0"/>
          <c:showSerName val="0"/>
          <c:showPercent val="0"/>
          <c:showBubbleSize val="0"/>
          <c:extLst>
            <c:ext xmlns:c15="http://schemas.microsoft.com/office/drawing/2012/chart" uri="{CE6537A1-D6FC-4f65-9D91-7224C49458BB}">
              <c15:layout/>
            </c:ext>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12700">
              <a:solidFill>
                <a:schemeClr val="lt2"/>
              </a:solidFill>
              <a:round/>
            </a:ln>
            <a:effectLst>
              <a:outerShdw blurRad="40000" dist="23000" dir="5400000" rotWithShape="0">
                <a:srgbClr val="000000">
                  <a:alpha val="35000"/>
                </a:srgbClr>
              </a:outerShdw>
            </a:effectLst>
          </c:spPr>
        </c:marker>
      </c:pivotFmt>
    </c:pivotFmts>
    <c:plotArea>
      <c:layout/>
      <c:barChart>
        <c:barDir val="col"/>
        <c:grouping val="clustered"/>
        <c:varyColors val="0"/>
        <c:ser>
          <c:idx val="0"/>
          <c:order val="0"/>
          <c:tx>
            <c:strRef>
              <c:f>Sheet8!$E$3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c:spPr>
          <c:invertIfNegative val="0"/>
          <c:dLbls>
            <c:delete val="1"/>
          </c:dLbls>
          <c:cat>
            <c:strRef>
              <c:f>Sheet8!$D$4:$D$10</c:f>
              <c:strCache>
                <c:ptCount val="6"/>
                <c:pt idx="0">
                  <c:v>Finance</c:v>
                </c:pt>
                <c:pt idx="1">
                  <c:v>HR</c:v>
                </c:pt>
                <c:pt idx="2">
                  <c:v>IT</c:v>
                </c:pt>
                <c:pt idx="3">
                  <c:v>Marketing</c:v>
                </c:pt>
                <c:pt idx="4">
                  <c:v>Operations</c:v>
                </c:pt>
                <c:pt idx="5">
                  <c:v>Sales</c:v>
                </c:pt>
              </c:strCache>
            </c:strRef>
          </c:cat>
          <c:val>
            <c:numRef>
              <c:f>Sheet8!$E$4:$E$10</c:f>
              <c:numCache>
                <c:formatCode>General</c:formatCode>
                <c:ptCount val="6"/>
                <c:pt idx="0">
                  <c:v>73851.557692307688</c:v>
                </c:pt>
                <c:pt idx="1">
                  <c:v>68990.5</c:v>
                </c:pt>
                <c:pt idx="2">
                  <c:v>71958.655737704918</c:v>
                </c:pt>
                <c:pt idx="3">
                  <c:v>63287.125</c:v>
                </c:pt>
                <c:pt idx="4">
                  <c:v>76428.814814814818</c:v>
                </c:pt>
                <c:pt idx="5">
                  <c:v>75605.98</c:v>
                </c:pt>
              </c:numCache>
            </c:numRef>
          </c:val>
          <c:extLst>
            <c:ext xmlns:c16="http://schemas.microsoft.com/office/drawing/2014/chart" uri="{C3380CC4-5D6E-409C-BE32-E72D297353CC}">
              <c16:uniqueId val="{00000000-AF19-401C-B99B-1035DC8F29BD}"/>
            </c:ext>
          </c:extLst>
        </c:ser>
        <c:dLbls>
          <c:dLblPos val="inEnd"/>
          <c:showLegendKey val="0"/>
          <c:showVal val="1"/>
          <c:showCatName val="0"/>
          <c:showSerName val="0"/>
          <c:showPercent val="0"/>
          <c:showBubbleSize val="0"/>
        </c:dLbls>
        <c:gapWidth val="100"/>
        <c:overlap val="-24"/>
        <c:axId val="384756896"/>
        <c:axId val="384757224"/>
      </c:barChart>
      <c:catAx>
        <c:axId val="384756896"/>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384757224"/>
        <c:crosses val="autoZero"/>
        <c:auto val="1"/>
        <c:lblAlgn val="ctr"/>
        <c:lblOffset val="100"/>
        <c:noMultiLvlLbl val="0"/>
      </c:catAx>
      <c:valAx>
        <c:axId val="384757224"/>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38475689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accent6"/>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[HR_MIS__.xlsx]Sheet8!PivotTable10</c:name>
    <c:fmtId val="20"/>
  </c:pivotSource>
  <c:chart>
    <c:title>
      <c:tx>
        <c:rich>
          <a:bodyPr rot="0" spcFirstLastPara="1" vertOverflow="ellipsis" vert="horz" wrap="square" anchor="ctr" anchorCtr="1"/>
          <a:lstStyle/>
          <a:p>
            <a:pPr>
              <a:defRPr sz="1000" b="1" i="0" u="none" strike="noStrike" kern="1200" cap="all" spc="50" baseline="0">
                <a:solidFill>
                  <a:schemeClr val="tx1">
                    <a:lumMod val="65000"/>
                    <a:lumOff val="35000"/>
                  </a:schemeClr>
                </a:solidFill>
                <a:latin typeface="+mn-lt"/>
                <a:ea typeface="+mn-ea"/>
                <a:cs typeface="+mn-cs"/>
              </a:defRPr>
            </a:pPr>
            <a:r>
              <a:rPr lang="en-US" sz="1000"/>
              <a:t>Age Group Distribution </a:t>
            </a:r>
          </a:p>
        </c:rich>
      </c:tx>
      <c:layout/>
      <c:overlay val="0"/>
      <c:spPr>
        <a:noFill/>
        <a:ln>
          <a:noFill/>
        </a:ln>
        <a:effectLst/>
      </c:spPr>
      <c:txPr>
        <a:bodyPr rot="0" spcFirstLastPara="1" vertOverflow="ellipsis" vert="horz" wrap="square" anchor="ctr" anchorCtr="1"/>
        <a:lstStyle/>
        <a:p>
          <a:pPr>
            <a:defRPr sz="10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spPr>
          <a:solidFill>
            <a:schemeClr val="accent1"/>
          </a:solidFill>
          <a:ln>
            <a:noFill/>
          </a:ln>
          <a:effectLst/>
          <a:scene3d>
            <a:camera prst="orthographicFront"/>
            <a:lightRig rig="brightRoom" dir="t"/>
          </a:scene3d>
          <a:sp3d prstMaterial="flat">
            <a:bevelT w="50800" h="101600" prst="angle"/>
            <a:contourClr>
              <a:srgbClr val="000000"/>
            </a:contourClr>
          </a:sp3d>
        </c:spPr>
        <c:marker>
          <c:spPr>
            <a:solidFill>
              <a:schemeClr val="accent1"/>
            </a:solidFill>
            <a:ln w="9525">
              <a:solidFill>
                <a:schemeClr val="lt1"/>
              </a:solidFill>
            </a:ln>
            <a:effectLst/>
          </c:spPr>
        </c:marker>
        <c:dLbl>
          <c:idx val="0"/>
          <c:layout/>
          <c:showLegendKey val="0"/>
          <c:showVal val="0"/>
          <c:showCatName val="0"/>
          <c:showSerName val="0"/>
          <c:showPercent val="1"/>
          <c:showBubbleSize val="0"/>
          <c:extLst>
            <c:ext xmlns:c15="http://schemas.microsoft.com/office/drawing/2012/chart" uri="{CE6537A1-D6FC-4f65-9D91-7224C49458BB}">
              <c15:layout/>
            </c:ext>
          </c:extLst>
        </c:dLbl>
      </c:pivotFmt>
      <c:pivotFmt>
        <c:idx val="12"/>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pivotFmt>
    </c:pivotFmts>
    <c:plotArea>
      <c:layout/>
      <c:doughnutChart>
        <c:varyColors val="1"/>
        <c:ser>
          <c:idx val="0"/>
          <c:order val="0"/>
          <c:tx>
            <c:strRef>
              <c:f>Sheet8!$K$3</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2A31-4DA4-8386-8319A56E07AF}"/>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2A31-4DA4-8386-8319A56E07AF}"/>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2A31-4DA4-8386-8319A56E07AF}"/>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2A31-4DA4-8386-8319A56E07AF}"/>
              </c:ext>
            </c:extLst>
          </c:dPt>
          <c:dLbls>
            <c:delete val="1"/>
          </c:dLbls>
          <c:cat>
            <c:strRef>
              <c:f>Sheet8!$J$4:$J$8</c:f>
              <c:strCache>
                <c:ptCount val="4"/>
                <c:pt idx="0">
                  <c:v>21-25</c:v>
                </c:pt>
                <c:pt idx="1">
                  <c:v>26-35</c:v>
                </c:pt>
                <c:pt idx="2">
                  <c:v>36-45</c:v>
                </c:pt>
                <c:pt idx="3">
                  <c:v>46+</c:v>
                </c:pt>
              </c:strCache>
            </c:strRef>
          </c:cat>
          <c:val>
            <c:numRef>
              <c:f>Sheet8!$K$4:$K$8</c:f>
              <c:numCache>
                <c:formatCode>General</c:formatCode>
                <c:ptCount val="4"/>
                <c:pt idx="0">
                  <c:v>46</c:v>
                </c:pt>
                <c:pt idx="1">
                  <c:v>87</c:v>
                </c:pt>
                <c:pt idx="2">
                  <c:v>76</c:v>
                </c:pt>
                <c:pt idx="3">
                  <c:v>126</c:v>
                </c:pt>
              </c:numCache>
            </c:numRef>
          </c:val>
          <c:extLst>
            <c:ext xmlns:c16="http://schemas.microsoft.com/office/drawing/2014/chart" uri="{C3380CC4-5D6E-409C-BE32-E72D297353CC}">
              <c16:uniqueId val="{00000008-2A31-4DA4-8386-8319A56E07AF}"/>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accent6"/>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[HR_MIS__.xlsx]Sheet8!PivotTable13</c:name>
    <c:fmtId val="3"/>
  </c:pivotSource>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n-US"/>
              <a:t>Overall Experience vs Salary</a:t>
            </a:r>
          </a:p>
        </c:rich>
      </c:tx>
      <c:layout/>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ivotFmts>
      <c:pivotFmt>
        <c:idx val="0"/>
      </c:pivotFmt>
      <c:pivotFmt>
        <c:idx val="1"/>
      </c:pivotFmt>
      <c:pivotFmt>
        <c:idx val="2"/>
      </c:pivotFmt>
      <c:pivotFmt>
        <c:idx val="3"/>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pivotFmt>
    </c:pivotFmts>
    <c:plotArea>
      <c:layout/>
      <c:lineChart>
        <c:grouping val="standard"/>
        <c:varyColors val="0"/>
        <c:ser>
          <c:idx val="0"/>
          <c:order val="0"/>
          <c:tx>
            <c:strRef>
              <c:f>Sheet8!$H$13</c:f>
              <c:strCache>
                <c:ptCount val="1"/>
                <c:pt idx="0">
                  <c:v>Total</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cat>
            <c:strRef>
              <c:f>Sheet8!$G$14:$G$34</c:f>
              <c:strCache>
                <c:ptCount val="2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strCache>
            </c:strRef>
          </c:cat>
          <c:val>
            <c:numRef>
              <c:f>Sheet8!$H$14:$H$34</c:f>
              <c:numCache>
                <c:formatCode>General</c:formatCode>
                <c:ptCount val="20"/>
                <c:pt idx="0">
                  <c:v>58006.583333333336</c:v>
                </c:pt>
                <c:pt idx="1">
                  <c:v>64708.333333333336</c:v>
                </c:pt>
                <c:pt idx="2">
                  <c:v>76359.142857142855</c:v>
                </c:pt>
                <c:pt idx="3">
                  <c:v>68149.399999999994</c:v>
                </c:pt>
                <c:pt idx="4">
                  <c:v>65414.047619047618</c:v>
                </c:pt>
                <c:pt idx="5">
                  <c:v>76517.545454545456</c:v>
                </c:pt>
                <c:pt idx="6">
                  <c:v>61878.090909090912</c:v>
                </c:pt>
                <c:pt idx="7">
                  <c:v>72927.823529411762</c:v>
                </c:pt>
                <c:pt idx="8">
                  <c:v>62047.333333333336</c:v>
                </c:pt>
                <c:pt idx="9">
                  <c:v>80860.913043478256</c:v>
                </c:pt>
                <c:pt idx="10">
                  <c:v>69189.941176470587</c:v>
                </c:pt>
                <c:pt idx="11">
                  <c:v>74317.15789473684</c:v>
                </c:pt>
                <c:pt idx="12">
                  <c:v>79707.777777777781</c:v>
                </c:pt>
                <c:pt idx="13">
                  <c:v>72265.904761904763</c:v>
                </c:pt>
                <c:pt idx="14">
                  <c:v>71532.272727272721</c:v>
                </c:pt>
                <c:pt idx="15">
                  <c:v>70554.111111111109</c:v>
                </c:pt>
                <c:pt idx="16">
                  <c:v>68232.9375</c:v>
                </c:pt>
                <c:pt idx="17">
                  <c:v>69327.199999999997</c:v>
                </c:pt>
                <c:pt idx="18">
                  <c:v>83325.733333333337</c:v>
                </c:pt>
                <c:pt idx="19">
                  <c:v>67827.666666666672</c:v>
                </c:pt>
              </c:numCache>
            </c:numRef>
          </c:val>
          <c:smooth val="0"/>
          <c:extLst>
            <c:ext xmlns:c16="http://schemas.microsoft.com/office/drawing/2014/chart" uri="{C3380CC4-5D6E-409C-BE32-E72D297353CC}">
              <c16:uniqueId val="{00000000-323C-408E-BDDE-217263ED3262}"/>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520918024"/>
        <c:axId val="520917368"/>
      </c:lineChart>
      <c:catAx>
        <c:axId val="520918024"/>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520917368"/>
        <c:crosses val="autoZero"/>
        <c:auto val="1"/>
        <c:lblAlgn val="ctr"/>
        <c:lblOffset val="100"/>
        <c:noMultiLvlLbl val="0"/>
      </c:catAx>
      <c:valAx>
        <c:axId val="52091736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520918024"/>
        <c:crosses val="autoZero"/>
        <c:crossBetween val="between"/>
      </c:valAx>
      <c:spPr>
        <a:gradFill>
          <a:gsLst>
            <a:gs pos="100000">
              <a:schemeClr val="lt1">
                <a:lumMod val="95000"/>
              </a:schemeClr>
            </a:gs>
            <a:gs pos="0">
              <a:schemeClr val="lt1"/>
            </a:gs>
          </a:gsLst>
          <a:lin ang="5400000" scaled="0"/>
        </a:gradFill>
        <a:ln>
          <a:noFill/>
        </a:ln>
        <a:effectLst/>
      </c:spPr>
    </c:plotArea>
    <c:plotVisOnly val="1"/>
    <c:dispBlanksAs val="gap"/>
    <c:showDLblsOverMax val="0"/>
  </c:chart>
  <c:spPr>
    <a:solidFill>
      <a:schemeClr val="lt1"/>
    </a:solidFill>
    <a:ln w="9525" cap="flat" cmpd="sng" algn="ctr">
      <a:solidFill>
        <a:schemeClr val="accent6"/>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[HR_MIS__.xlsx]Sheet8!PivotTable12</c:name>
    <c:fmtId val="3"/>
  </c:pivotSource>
  <c:chart>
    <c:title>
      <c:tx>
        <c:rich>
          <a:bodyPr rot="0" spcFirstLastPara="1" vertOverflow="ellipsis" vert="horz" wrap="square" anchor="ctr" anchorCtr="1"/>
          <a:lstStyle/>
          <a:p>
            <a:pPr>
              <a:defRPr sz="1000" b="1" i="0" u="none" strike="noStrike" kern="1200" cap="all" spc="50" baseline="0">
                <a:solidFill>
                  <a:schemeClr val="tx1">
                    <a:lumMod val="65000"/>
                    <a:lumOff val="35000"/>
                  </a:schemeClr>
                </a:solidFill>
                <a:latin typeface="+mn-lt"/>
                <a:ea typeface="+mn-ea"/>
                <a:cs typeface="+mn-cs"/>
              </a:defRPr>
            </a:pPr>
            <a:r>
              <a:rPr lang="en-US" sz="1000"/>
              <a:t>Salary Band Distribution</a:t>
            </a:r>
          </a:p>
        </c:rich>
      </c:tx>
      <c:layout/>
      <c:overlay val="0"/>
      <c:spPr>
        <a:noFill/>
        <a:ln>
          <a:noFill/>
        </a:ln>
        <a:effectLst/>
      </c:spPr>
      <c:txPr>
        <a:bodyPr rot="0" spcFirstLastPara="1" vertOverflow="ellipsis" vert="horz" wrap="square" anchor="ctr" anchorCtr="1"/>
        <a:lstStyle/>
        <a:p>
          <a:pPr>
            <a:defRPr sz="10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ext>
          </c:extLst>
        </c:dLbl>
      </c:pivotFmt>
    </c:pivotFmts>
    <c:plotArea>
      <c:layout/>
      <c:doughnutChart>
        <c:varyColors val="1"/>
        <c:ser>
          <c:idx val="0"/>
          <c:order val="0"/>
          <c:tx>
            <c:strRef>
              <c:f>Sheet8!$E$13</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6C67-4841-9090-BFCFF6B690B0}"/>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6C67-4841-9090-BFCFF6B690B0}"/>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6C67-4841-9090-BFCFF6B690B0}"/>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Sheet8!$D$14:$D$17</c:f>
              <c:strCache>
                <c:ptCount val="3"/>
                <c:pt idx="0">
                  <c:v>high</c:v>
                </c:pt>
                <c:pt idx="1">
                  <c:v>low</c:v>
                </c:pt>
                <c:pt idx="2">
                  <c:v>medium</c:v>
                </c:pt>
              </c:strCache>
            </c:strRef>
          </c:cat>
          <c:val>
            <c:numRef>
              <c:f>Sheet8!$E$14:$E$17</c:f>
              <c:numCache>
                <c:formatCode>General</c:formatCode>
                <c:ptCount val="3"/>
                <c:pt idx="0">
                  <c:v>137</c:v>
                </c:pt>
                <c:pt idx="1">
                  <c:v>58</c:v>
                </c:pt>
                <c:pt idx="2">
                  <c:v>140</c:v>
                </c:pt>
              </c:numCache>
            </c:numRef>
          </c:val>
          <c:extLst>
            <c:ext xmlns:c16="http://schemas.microsoft.com/office/drawing/2014/chart" uri="{C3380CC4-5D6E-409C-BE32-E72D297353CC}">
              <c16:uniqueId val="{00000006-6C67-4841-9090-BFCFF6B690B0}"/>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accent6"/>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4">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a:effectLst/>
    </cs:defRPr>
  </cs:categoryAxis>
  <cs:chartArea>
    <cs:lnRef idx="0"/>
    <cs:fillRef idx="0"/>
    <cs:effectRef idx="0"/>
    <cs:fontRef idx="minor">
      <a:schemeClr val="dk1"/>
    </cs:fontRef>
    <cs:spPr>
      <a:gradFill flip="none" rotWithShape="1">
        <a:gsLst>
          <a:gs pos="0">
            <a:schemeClr val="lt1"/>
          </a:gs>
          <a:gs pos="68000">
            <a:schemeClr val="lt1">
              <a:lumMod val="85000"/>
            </a:schemeClr>
          </a:gs>
          <a:gs pos="100000">
            <a:schemeClr val="lt1"/>
          </a:gs>
        </a:gsLst>
        <a:lin ang="5400000" scaled="1"/>
        <a:tileRect/>
      </a:gradFill>
      <a:ln w="9525" cap="flat" cmpd="sng" algn="ctr">
        <a:solidFill>
          <a:schemeClr val="dk1">
            <a:lumMod val="15000"/>
            <a:lumOff val="85000"/>
          </a:schemeClr>
        </a:solidFill>
        <a:round/>
      </a:ln>
    </cs:spPr>
    <cs:defRPr sz="1000" kern="1200"/>
  </cs:chartArea>
  <cs:dataLabel>
    <cs:lnRef idx="0"/>
    <cs:fillRef idx="0"/>
    <cs:effectRef idx="0"/>
    <cs:fontRef idx="minor">
      <a:schemeClr val="lt1"/>
    </cs:fontRef>
    <cs:spPr/>
    <cs:defRPr sz="10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10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
  <cs:dataPoint3D>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3D>
  <cs:dataPointLine>
    <cs:lnRef idx="0">
      <cs:styleClr val="auto"/>
    </cs:lnRef>
    <cs:fillRef idx="0"/>
    <cs:effectRef idx="0"/>
    <cs:fontRef idx="minor">
      <a:schemeClr val="dk1"/>
    </cs:fontRef>
    <cs:spPr>
      <a:ln w="28575" cap="rnd">
        <a:gradFill>
          <a:gsLst>
            <a:gs pos="0">
              <a:schemeClr val="phClr"/>
            </a:gs>
            <a:gs pos="100000">
              <a:schemeClr val="phClr">
                <a:lumMod val="84000"/>
              </a:schemeClr>
            </a:gs>
          </a:gsLst>
          <a:lin ang="5400000" scaled="1"/>
        </a:gradFill>
        <a:round/>
      </a:ln>
    </cs:spPr>
  </cs:dataPointLine>
  <cs:dataPointMarker>
    <cs:lnRef idx="0"/>
    <cs:fillRef idx="0">
      <cs:styleClr val="auto"/>
    </cs:fillRef>
    <cs:effectRef idx="0"/>
    <cs:fontRef idx="minor">
      <a:schemeClr val="dk1"/>
    </cs:fontRef>
    <cs:spPr>
      <a:gradFill>
        <a:gsLst>
          <a:gs pos="0">
            <a:schemeClr val="phClr"/>
          </a:gs>
          <a:gs pos="100000">
            <a:schemeClr val="phClr">
              <a:lumMod val="84000"/>
            </a:schemeClr>
          </a:gs>
        </a:gsLst>
        <a:lin ang="5400000" scaled="1"/>
      </a:gradFill>
      <a:effectLst>
        <a:outerShdw blurRad="76200" dir="18900000" sy="23000" kx="-1200000" algn="bl" rotWithShape="0">
          <a:prstClr val="black">
            <a:alpha val="20000"/>
          </a:prstClr>
        </a:outerShdw>
      </a:effectLst>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35000"/>
          <a:lumOff val="65000"/>
        </a:schemeClr>
      </a:solidFill>
      <a:ln w="9525">
        <a:solidFill>
          <a:schemeClr val="dk1">
            <a:lumMod val="50000"/>
            <a:lumOff val="50000"/>
          </a:schemeClr>
        </a:solidFill>
      </a:ln>
    </cs:spPr>
  </cs:downBar>
  <cs:dropLine>
    <cs:lnRef idx="0"/>
    <cs:fillRef idx="0"/>
    <cs:effectRef idx="0"/>
    <cs:fontRef idx="minor">
      <a:schemeClr val="dk1"/>
    </cs:fontRef>
    <cs:spPr>
      <a:ln w="9525">
        <a:solidFill>
          <a:schemeClr val="dk1">
            <a:lumMod val="50000"/>
            <a:lumOff val="50000"/>
          </a:schemeClr>
        </a:solidFill>
        <a:round/>
      </a:ln>
    </cs:spPr>
  </cs:dropLine>
  <cs:errorBar>
    <cs:lnRef idx="0"/>
    <cs:fillRef idx="0"/>
    <cs:effectRef idx="0"/>
    <cs:fontRef idx="minor">
      <a:schemeClr val="dk1"/>
    </cs:fontRef>
    <cs:spPr>
      <a:ln w="9525">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50000"/>
            <a:lumOff val="50000"/>
          </a:schemeClr>
        </a:solidFill>
        <a:round/>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65000"/>
        <a:lumOff val="35000"/>
      </a:schemeClr>
    </cs:fontRef>
    <cs:defRPr kern="1200">
      <a:effectLst/>
    </cs:defRPr>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lumMod val="95000"/>
        </a:schemeClr>
      </a:solidFill>
      <a:ln w="9525">
        <a:solidFill>
          <a:schemeClr val="dk1">
            <a:lumMod val="15000"/>
            <a:lumOff val="85000"/>
          </a:schemeClr>
        </a:solidFill>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2.emf"/><Relationship Id="rId3" Type="http://schemas.openxmlformats.org/officeDocument/2006/relationships/chart" Target="../charts/chart3.xml"/><Relationship Id="rId7"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30480</xdr:colOff>
      <xdr:row>0</xdr:row>
      <xdr:rowOff>38100</xdr:rowOff>
    </xdr:from>
    <xdr:to>
      <xdr:col>23</xdr:col>
      <xdr:colOff>342900</xdr:colOff>
      <xdr:row>35</xdr:row>
      <xdr:rowOff>22860</xdr:rowOff>
    </xdr:to>
    <xdr:sp macro="" textlink="">
      <xdr:nvSpPr>
        <xdr:cNvPr id="2" name="Rectangle 1"/>
        <xdr:cNvSpPr/>
      </xdr:nvSpPr>
      <xdr:spPr>
        <a:xfrm>
          <a:off x="30480" y="38100"/>
          <a:ext cx="14333220" cy="6385560"/>
        </a:xfrm>
        <a:prstGeom prst="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ctr"/>
        <a:lstStyle/>
        <a:p>
          <a:pPr algn="ctr"/>
          <a:endParaRPr lang="en-IN" sz="1100"/>
        </a:p>
      </xdr:txBody>
    </xdr:sp>
    <xdr:clientData/>
  </xdr:twoCellAnchor>
  <xdr:twoCellAnchor>
    <xdr:from>
      <xdr:col>0</xdr:col>
      <xdr:colOff>60960</xdr:colOff>
      <xdr:row>0</xdr:row>
      <xdr:rowOff>68580</xdr:rowOff>
    </xdr:from>
    <xdr:to>
      <xdr:col>2</xdr:col>
      <xdr:colOff>365760</xdr:colOff>
      <xdr:row>4</xdr:row>
      <xdr:rowOff>83820</xdr:rowOff>
    </xdr:to>
    <xdr:sp macro="" textlink="">
      <xdr:nvSpPr>
        <xdr:cNvPr id="3" name="Rounded Rectangle 2"/>
        <xdr:cNvSpPr/>
      </xdr:nvSpPr>
      <xdr:spPr>
        <a:xfrm>
          <a:off x="60960" y="68580"/>
          <a:ext cx="1524000" cy="746760"/>
        </a:xfrm>
        <a:prstGeom prst="roundRect">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426720</xdr:colOff>
      <xdr:row>0</xdr:row>
      <xdr:rowOff>76200</xdr:rowOff>
    </xdr:from>
    <xdr:to>
      <xdr:col>23</xdr:col>
      <xdr:colOff>45720</xdr:colOff>
      <xdr:row>2</xdr:row>
      <xdr:rowOff>137160</xdr:rowOff>
    </xdr:to>
    <xdr:sp macro="" textlink="">
      <xdr:nvSpPr>
        <xdr:cNvPr id="4" name="Rounded Rectangle 3"/>
        <xdr:cNvSpPr/>
      </xdr:nvSpPr>
      <xdr:spPr>
        <a:xfrm>
          <a:off x="1645920" y="76200"/>
          <a:ext cx="12420600" cy="426720"/>
        </a:xfrm>
        <a:prstGeom prst="roundRect">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ctr"/>
        <a:lstStyle/>
        <a:p>
          <a:pPr algn="ctr"/>
          <a:r>
            <a:rPr lang="en-IN" sz="2400">
              <a:latin typeface="Algerian" panose="04020705040A02060702" pitchFamily="82" charset="0"/>
            </a:rPr>
            <a:t>HR ANALYTICS DASHBOARD</a:t>
          </a:r>
        </a:p>
      </xdr:txBody>
    </xdr:sp>
    <xdr:clientData/>
  </xdr:twoCellAnchor>
  <xdr:twoCellAnchor>
    <xdr:from>
      <xdr:col>0</xdr:col>
      <xdr:colOff>106680</xdr:colOff>
      <xdr:row>5</xdr:row>
      <xdr:rowOff>53340</xdr:rowOff>
    </xdr:from>
    <xdr:to>
      <xdr:col>2</xdr:col>
      <xdr:colOff>365760</xdr:colOff>
      <xdr:row>9</xdr:row>
      <xdr:rowOff>137160</xdr:rowOff>
    </xdr:to>
    <xdr:sp macro="" textlink="">
      <xdr:nvSpPr>
        <xdr:cNvPr id="5" name="Rounded Rectangle 4"/>
        <xdr:cNvSpPr/>
      </xdr:nvSpPr>
      <xdr:spPr>
        <a:xfrm>
          <a:off x="106680" y="967740"/>
          <a:ext cx="1478280" cy="81534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a:t>335</a:t>
          </a:r>
        </a:p>
        <a:p>
          <a:pPr algn="ctr"/>
          <a:r>
            <a:rPr lang="en-US" sz="1400"/>
            <a:t>Total Employees</a:t>
          </a:r>
        </a:p>
      </xdr:txBody>
    </xdr:sp>
    <xdr:clientData/>
  </xdr:twoCellAnchor>
  <xdr:twoCellAnchor>
    <xdr:from>
      <xdr:col>0</xdr:col>
      <xdr:colOff>91440</xdr:colOff>
      <xdr:row>10</xdr:row>
      <xdr:rowOff>137160</xdr:rowOff>
    </xdr:from>
    <xdr:to>
      <xdr:col>2</xdr:col>
      <xdr:colOff>350520</xdr:colOff>
      <xdr:row>15</xdr:row>
      <xdr:rowOff>38100</xdr:rowOff>
    </xdr:to>
    <xdr:sp macro="" textlink="">
      <xdr:nvSpPr>
        <xdr:cNvPr id="6" name="Rounded Rectangle 5"/>
        <xdr:cNvSpPr/>
      </xdr:nvSpPr>
      <xdr:spPr>
        <a:xfrm>
          <a:off x="91440" y="1965960"/>
          <a:ext cx="1478280" cy="81534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a:t>71382.31</a:t>
          </a:r>
        </a:p>
        <a:p>
          <a:pPr algn="ctr"/>
          <a:r>
            <a:rPr lang="en-US" sz="1600"/>
            <a:t>Avg</a:t>
          </a:r>
          <a:r>
            <a:rPr lang="en-US" sz="1600" baseline="0"/>
            <a:t> Salary</a:t>
          </a:r>
          <a:endParaRPr lang="en-US" sz="1600"/>
        </a:p>
      </xdr:txBody>
    </xdr:sp>
    <xdr:clientData/>
  </xdr:twoCellAnchor>
  <xdr:twoCellAnchor>
    <xdr:from>
      <xdr:col>0</xdr:col>
      <xdr:colOff>99060</xdr:colOff>
      <xdr:row>16</xdr:row>
      <xdr:rowOff>38100</xdr:rowOff>
    </xdr:from>
    <xdr:to>
      <xdr:col>2</xdr:col>
      <xdr:colOff>358140</xdr:colOff>
      <xdr:row>20</xdr:row>
      <xdr:rowOff>121920</xdr:rowOff>
    </xdr:to>
    <xdr:sp macro="" textlink="">
      <xdr:nvSpPr>
        <xdr:cNvPr id="7" name="Rounded Rectangle 6"/>
        <xdr:cNvSpPr/>
      </xdr:nvSpPr>
      <xdr:spPr>
        <a:xfrm>
          <a:off x="99060" y="2964180"/>
          <a:ext cx="1478280" cy="81534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a:t>84.97</a:t>
          </a:r>
        </a:p>
        <a:p>
          <a:pPr algn="ctr"/>
          <a:r>
            <a:rPr lang="en-US" sz="1400"/>
            <a:t>Avg</a:t>
          </a:r>
          <a:r>
            <a:rPr lang="en-US" sz="1400" baseline="0"/>
            <a:t> Attendence</a:t>
          </a:r>
          <a:endParaRPr lang="en-US" sz="1400"/>
        </a:p>
      </xdr:txBody>
    </xdr:sp>
    <xdr:clientData/>
  </xdr:twoCellAnchor>
  <xdr:twoCellAnchor>
    <xdr:from>
      <xdr:col>0</xdr:col>
      <xdr:colOff>99060</xdr:colOff>
      <xdr:row>21</xdr:row>
      <xdr:rowOff>144780</xdr:rowOff>
    </xdr:from>
    <xdr:to>
      <xdr:col>2</xdr:col>
      <xdr:colOff>358140</xdr:colOff>
      <xdr:row>26</xdr:row>
      <xdr:rowOff>45720</xdr:rowOff>
    </xdr:to>
    <xdr:sp macro="" textlink="">
      <xdr:nvSpPr>
        <xdr:cNvPr id="8" name="Rounded Rectangle 7"/>
        <xdr:cNvSpPr/>
      </xdr:nvSpPr>
      <xdr:spPr>
        <a:xfrm>
          <a:off x="99060" y="3985260"/>
          <a:ext cx="1478280" cy="81534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a:t>158</a:t>
          </a:r>
        </a:p>
        <a:p>
          <a:pPr algn="ctr"/>
          <a:r>
            <a:rPr lang="en-US" sz="1400"/>
            <a:t>Attrition</a:t>
          </a:r>
          <a:r>
            <a:rPr lang="en-US" sz="1400" baseline="0"/>
            <a:t> Count</a:t>
          </a:r>
          <a:endParaRPr lang="en-US" sz="1400"/>
        </a:p>
      </xdr:txBody>
    </xdr:sp>
    <xdr:clientData/>
  </xdr:twoCellAnchor>
  <xdr:twoCellAnchor>
    <xdr:from>
      <xdr:col>2</xdr:col>
      <xdr:colOff>533400</xdr:colOff>
      <xdr:row>3</xdr:row>
      <xdr:rowOff>76200</xdr:rowOff>
    </xdr:from>
    <xdr:to>
      <xdr:col>8</xdr:col>
      <xdr:colOff>259080</xdr:colOff>
      <xdr:row>15</xdr:row>
      <xdr:rowOff>106680</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525780</xdr:colOff>
      <xdr:row>3</xdr:row>
      <xdr:rowOff>76200</xdr:rowOff>
    </xdr:from>
    <xdr:to>
      <xdr:col>20</xdr:col>
      <xdr:colOff>297180</xdr:colOff>
      <xdr:row>15</xdr:row>
      <xdr:rowOff>83820</xdr:rowOff>
    </xdr:to>
    <xdr:graphicFrame macro="">
      <xdr:nvGraphicFramePr>
        <xdr:cNvPr id="10" name="Chart 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320040</xdr:colOff>
      <xdr:row>3</xdr:row>
      <xdr:rowOff>91440</xdr:rowOff>
    </xdr:from>
    <xdr:to>
      <xdr:col>14</xdr:col>
      <xdr:colOff>449580</xdr:colOff>
      <xdr:row>15</xdr:row>
      <xdr:rowOff>91440</xdr:rowOff>
    </xdr:to>
    <xdr:graphicFrame macro="">
      <xdr:nvGraphicFramePr>
        <xdr:cNvPr id="11" name="Chart 1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152400</xdr:colOff>
      <xdr:row>15</xdr:row>
      <xdr:rowOff>167640</xdr:rowOff>
    </xdr:from>
    <xdr:to>
      <xdr:col>15</xdr:col>
      <xdr:colOff>457200</xdr:colOff>
      <xdr:row>27</xdr:row>
      <xdr:rowOff>30480</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518160</xdr:colOff>
      <xdr:row>15</xdr:row>
      <xdr:rowOff>175260</xdr:rowOff>
    </xdr:from>
    <xdr:to>
      <xdr:col>11</xdr:col>
      <xdr:colOff>30480</xdr:colOff>
      <xdr:row>27</xdr:row>
      <xdr:rowOff>0</xdr:rowOff>
    </xdr:to>
    <xdr:graphicFrame macro="">
      <xdr:nvGraphicFramePr>
        <xdr:cNvPr id="13" name="Chart 1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594360</xdr:colOff>
      <xdr:row>15</xdr:row>
      <xdr:rowOff>175260</xdr:rowOff>
    </xdr:from>
    <xdr:to>
      <xdr:col>20</xdr:col>
      <xdr:colOff>281940</xdr:colOff>
      <xdr:row>27</xdr:row>
      <xdr:rowOff>15240</xdr:rowOff>
    </xdr:to>
    <xdr:graphicFrame macro="">
      <xdr:nvGraphicFramePr>
        <xdr:cNvPr id="15" name="Chart 1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60960</xdr:colOff>
      <xdr:row>0</xdr:row>
      <xdr:rowOff>53340</xdr:rowOff>
    </xdr:from>
    <xdr:to>
      <xdr:col>2</xdr:col>
      <xdr:colOff>327659</xdr:colOff>
      <xdr:row>4</xdr:row>
      <xdr:rowOff>22860</xdr:rowOff>
    </xdr:to>
    <xdr:pic>
      <xdr:nvPicPr>
        <xdr:cNvPr id="17" name="Picture 16"/>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0960" y="53340"/>
          <a:ext cx="1485899" cy="701040"/>
        </a:xfrm>
        <a:prstGeom prst="rect">
          <a:avLst/>
        </a:prstGeom>
      </xdr:spPr>
    </xdr:pic>
    <xdr:clientData/>
  </xdr:twoCellAnchor>
  <xdr:twoCellAnchor editAs="oneCell">
    <xdr:from>
      <xdr:col>20</xdr:col>
      <xdr:colOff>434340</xdr:colOff>
      <xdr:row>3</xdr:row>
      <xdr:rowOff>106681</xdr:rowOff>
    </xdr:from>
    <xdr:to>
      <xdr:col>23</xdr:col>
      <xdr:colOff>45720</xdr:colOff>
      <xdr:row>12</xdr:row>
      <xdr:rowOff>38100</xdr:rowOff>
    </xdr:to>
    <mc:AlternateContent xmlns:mc="http://schemas.openxmlformats.org/markup-compatibility/2006">
      <mc:Choice xmlns:a14="http://schemas.microsoft.com/office/drawing/2010/main" Requires="a14">
        <xdr:graphicFrame macro="">
          <xdr:nvGraphicFramePr>
            <xdr:cNvPr id="18" name="job_role"/>
            <xdr:cNvGraphicFramePr/>
          </xdr:nvGraphicFramePr>
          <xdr:xfrm>
            <a:off x="0" y="0"/>
            <a:ext cx="0" cy="0"/>
          </xdr:xfrm>
          <a:graphic>
            <a:graphicData uri="http://schemas.microsoft.com/office/drawing/2010/slicer">
              <sle:slicer xmlns:sle="http://schemas.microsoft.com/office/drawing/2010/slicer" name="job_role"/>
            </a:graphicData>
          </a:graphic>
        </xdr:graphicFrame>
      </mc:Choice>
      <mc:Fallback>
        <xdr:sp macro="" textlink="">
          <xdr:nvSpPr>
            <xdr:cNvPr id="0" name=""/>
            <xdr:cNvSpPr>
              <a:spLocks noTextEdit="1"/>
            </xdr:cNvSpPr>
          </xdr:nvSpPr>
          <xdr:spPr>
            <a:xfrm>
              <a:off x="12626340" y="655321"/>
              <a:ext cx="1440180" cy="15773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419100</xdr:colOff>
      <xdr:row>12</xdr:row>
      <xdr:rowOff>83821</xdr:rowOff>
    </xdr:from>
    <xdr:to>
      <xdr:col>22</xdr:col>
      <xdr:colOff>601980</xdr:colOff>
      <xdr:row>21</xdr:row>
      <xdr:rowOff>91440</xdr:rowOff>
    </xdr:to>
    <mc:AlternateContent xmlns:mc="http://schemas.openxmlformats.org/markup-compatibility/2006">
      <mc:Choice xmlns:a14="http://schemas.microsoft.com/office/drawing/2010/main" Requires="a14">
        <xdr:graphicFrame macro="">
          <xdr:nvGraphicFramePr>
            <xdr:cNvPr id="19" name="city"/>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12611100" y="2278381"/>
              <a:ext cx="1402080" cy="16535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0</xdr:row>
      <xdr:rowOff>0</xdr:rowOff>
    </xdr:from>
    <xdr:to>
      <xdr:col>1</xdr:col>
      <xdr:colOff>7620</xdr:colOff>
      <xdr:row>1</xdr:row>
      <xdr:rowOff>7620</xdr:rowOff>
    </xdr:to>
    <xdr:pic>
      <xdr:nvPicPr>
        <xdr:cNvPr id="20" name="Picture 19"/>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0" y="0"/>
          <a:ext cx="61722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1</xdr:col>
      <xdr:colOff>7620</xdr:colOff>
      <xdr:row>1</xdr:row>
      <xdr:rowOff>7620</xdr:rowOff>
    </xdr:to>
    <xdr:pic>
      <xdr:nvPicPr>
        <xdr:cNvPr id="21" name="Picture 20"/>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0" y="0"/>
          <a:ext cx="61722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20</xdr:col>
      <xdr:colOff>419100</xdr:colOff>
      <xdr:row>21</xdr:row>
      <xdr:rowOff>137161</xdr:rowOff>
    </xdr:from>
    <xdr:to>
      <xdr:col>23</xdr:col>
      <xdr:colOff>0</xdr:colOff>
      <xdr:row>28</xdr:row>
      <xdr:rowOff>45720</xdr:rowOff>
    </xdr:to>
    <mc:AlternateContent xmlns:mc="http://schemas.openxmlformats.org/markup-compatibility/2006">
      <mc:Choice xmlns:a14="http://schemas.microsoft.com/office/drawing/2010/main" Requires="a14">
        <xdr:graphicFrame macro="">
          <xdr:nvGraphicFramePr>
            <xdr:cNvPr id="22" name="work_mode"/>
            <xdr:cNvGraphicFramePr/>
          </xdr:nvGraphicFramePr>
          <xdr:xfrm>
            <a:off x="0" y="0"/>
            <a:ext cx="0" cy="0"/>
          </xdr:xfrm>
          <a:graphic>
            <a:graphicData uri="http://schemas.microsoft.com/office/drawing/2010/slicer">
              <sle:slicer xmlns:sle="http://schemas.microsoft.com/office/drawing/2010/slicer" name="work_mode"/>
            </a:graphicData>
          </a:graphic>
        </xdr:graphicFrame>
      </mc:Choice>
      <mc:Fallback>
        <xdr:sp macro="" textlink="">
          <xdr:nvSpPr>
            <xdr:cNvPr id="0" name=""/>
            <xdr:cNvSpPr>
              <a:spLocks noTextEdit="1"/>
            </xdr:cNvSpPr>
          </xdr:nvSpPr>
          <xdr:spPr>
            <a:xfrm>
              <a:off x="12611100" y="3977641"/>
              <a:ext cx="1409700" cy="11887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Hp" refreshedDate="46161.045769444441" createdVersion="6" refreshedVersion="6" minRefreshableVersion="3" recordCount="335">
  <cacheSource type="worksheet">
    <worksheetSource name="Table1_2"/>
  </cacheSource>
  <cacheFields count="17">
    <cacheField name="employee_id" numFmtId="0">
      <sharedItems/>
    </cacheField>
    <cacheField name="employee_name" numFmtId="0">
      <sharedItems/>
    </cacheField>
    <cacheField name="age" numFmtId="0">
      <sharedItems containsSemiMixedTypes="0" containsString="0" containsNumber="1" containsInteger="1" minValue="21" maxValue="58"/>
    </cacheField>
    <cacheField name="department" numFmtId="0">
      <sharedItems count="6">
        <s v="Finance"/>
        <s v="Sales"/>
        <s v="Operations"/>
        <s v="Marketing"/>
        <s v="IT"/>
        <s v="HR"/>
      </sharedItems>
    </cacheField>
    <cacheField name="job_role" numFmtId="0">
      <sharedItems count="5">
        <s v="Executive"/>
        <s v="Analyst"/>
        <s v="Manager"/>
        <s v="Associate"/>
        <s v="Coordinator"/>
      </sharedItems>
    </cacheField>
    <cacheField name="city" numFmtId="0">
      <sharedItems count="5">
        <s v="Pune"/>
        <s v="Thane"/>
        <s v="Nashik"/>
        <s v="Nagpur"/>
        <s v="Mumbai"/>
      </sharedItems>
    </cacheField>
    <cacheField name="joining_date" numFmtId="22">
      <sharedItems containsSemiMixedTypes="0" containsNonDate="0" containsDate="1" containsString="0" minDate="2021-02-05T00:00:00" maxDate="2026-04-30T00:00:00"/>
    </cacheField>
    <cacheField name="leaving_date" numFmtId="22">
      <sharedItems containsNonDate="0" containsDate="1" containsString="0" containsBlank="1" minDate="2022-01-05T00:00:00" maxDate="2026-05-01T00:00:00"/>
    </cacheField>
    <cacheField name="experience_years" numFmtId="0">
      <sharedItems containsSemiMixedTypes="0" containsString="0" containsNumber="1" containsInteger="1" minValue="1" maxValue="20" count="20">
        <n v="4"/>
        <n v="20"/>
        <n v="14"/>
        <n v="9"/>
        <n v="12"/>
        <n v="8"/>
        <n v="13"/>
        <n v="5"/>
        <n v="15"/>
        <n v="10"/>
        <n v="16"/>
        <n v="18"/>
        <n v="19"/>
        <n v="17"/>
        <n v="2"/>
        <n v="3"/>
        <n v="11"/>
        <n v="1"/>
        <n v="7"/>
        <n v="6"/>
      </sharedItems>
    </cacheField>
    <cacheField name="salary" numFmtId="0">
      <sharedItems containsSemiMixedTypes="0" containsString="0" containsNumber="1" containsInteger="1" minValue="25235" maxValue="119555"/>
    </cacheField>
    <cacheField name="attendance_percent" numFmtId="0">
      <sharedItems containsSemiMixedTypes="0" containsString="0" containsNumber="1" containsInteger="1" minValue="70" maxValue="100"/>
    </cacheField>
    <cacheField name="performance_rating" numFmtId="0">
      <sharedItems containsSemiMixedTypes="0" containsString="0" containsNumber="1" containsInteger="1" minValue="1" maxValue="5"/>
    </cacheField>
    <cacheField name="overtime_hours" numFmtId="0">
      <sharedItems containsSemiMixedTypes="0" containsString="0" containsNumber="1" containsInteger="1" minValue="0" maxValue="40"/>
    </cacheField>
    <cacheField name="work_mode" numFmtId="0">
      <sharedItems count="3">
        <s v="Office"/>
        <s v="Hybrid"/>
        <s v="WFH"/>
      </sharedItems>
    </cacheField>
    <cacheField name="attrition" numFmtId="0">
      <sharedItems/>
    </cacheField>
    <cacheField name="Age Group" numFmtId="0">
      <sharedItems count="4">
        <s v="36-45"/>
        <s v="26-35"/>
        <s v="46+"/>
        <s v="21-25"/>
      </sharedItems>
    </cacheField>
    <cacheField name="Salary Band" numFmtId="0">
      <sharedItems count="3">
        <s v="high"/>
        <s v="low"/>
        <s v="medium"/>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335">
  <r>
    <s v="EMP0001"/>
    <s v="Divij Khatri"/>
    <n v="38"/>
    <x v="0"/>
    <x v="0"/>
    <x v="0"/>
    <d v="2024-08-02T00:00:00"/>
    <d v="2024-12-21T00:00:00"/>
    <x v="0"/>
    <n v="113696"/>
    <n v="93"/>
    <n v="5"/>
    <n v="5"/>
    <x v="0"/>
    <s v="Yes"/>
    <x v="0"/>
    <x v="0"/>
  </r>
  <r>
    <s v="EMP0002"/>
    <s v="Pari Kalla"/>
    <n v="26"/>
    <x v="0"/>
    <x v="0"/>
    <x v="1"/>
    <d v="2023-05-15T00:00:00"/>
    <d v="2023-10-13T00:00:00"/>
    <x v="1"/>
    <n v="28478"/>
    <n v="87"/>
    <n v="2"/>
    <n v="34"/>
    <x v="1"/>
    <s v="Yes"/>
    <x v="1"/>
    <x v="1"/>
  </r>
  <r>
    <s v="EMP0003"/>
    <s v="Himmat Kurian"/>
    <n v="58"/>
    <x v="1"/>
    <x v="1"/>
    <x v="0"/>
    <d v="2022-03-28T00:00:00"/>
    <m/>
    <x v="2"/>
    <n v="69597"/>
    <n v="78"/>
    <n v="2"/>
    <n v="13"/>
    <x v="1"/>
    <s v="No"/>
    <x v="2"/>
    <x v="2"/>
  </r>
  <r>
    <s v="EMP0004"/>
    <s v="Myra Borah"/>
    <n v="27"/>
    <x v="1"/>
    <x v="2"/>
    <x v="1"/>
    <d v="2021-07-29T00:00:00"/>
    <d v="2023-12-14T00:00:00"/>
    <x v="3"/>
    <n v="30695"/>
    <n v="93"/>
    <n v="4"/>
    <n v="34"/>
    <x v="2"/>
    <s v="Yes"/>
    <x v="1"/>
    <x v="1"/>
  </r>
  <r>
    <s v="EMP0005"/>
    <s v="Jayan Walla"/>
    <n v="26"/>
    <x v="2"/>
    <x v="2"/>
    <x v="1"/>
    <d v="2026-03-04T00:00:00"/>
    <m/>
    <x v="4"/>
    <n v="100674"/>
    <n v="76"/>
    <n v="1"/>
    <n v="2"/>
    <x v="0"/>
    <s v="No"/>
    <x v="1"/>
    <x v="0"/>
  </r>
  <r>
    <s v="EMP0006"/>
    <s v="Yuvraj  Sheth"/>
    <n v="26"/>
    <x v="0"/>
    <x v="1"/>
    <x v="2"/>
    <d v="2022-04-12T00:00:00"/>
    <m/>
    <x v="3"/>
    <n v="84429"/>
    <n v="90"/>
    <n v="3"/>
    <n v="10"/>
    <x v="1"/>
    <s v="No"/>
    <x v="1"/>
    <x v="0"/>
  </r>
  <r>
    <s v="EMP0007"/>
    <s v="Purab Ravel"/>
    <n v="25"/>
    <x v="2"/>
    <x v="0"/>
    <x v="1"/>
    <d v="2022-12-29T00:00:00"/>
    <d v="2024-09-25T00:00:00"/>
    <x v="5"/>
    <n v="46417"/>
    <n v="84"/>
    <n v="4"/>
    <n v="17"/>
    <x v="0"/>
    <s v="Yes"/>
    <x v="3"/>
    <x v="2"/>
  </r>
  <r>
    <s v="EMP0008"/>
    <s v="Tejas Bawa"/>
    <n v="24"/>
    <x v="0"/>
    <x v="1"/>
    <x v="3"/>
    <d v="2024-11-10T00:00:00"/>
    <d v="2026-04-30T00:00:00"/>
    <x v="6"/>
    <n v="60093"/>
    <n v="72"/>
    <n v="2"/>
    <n v="36"/>
    <x v="0"/>
    <s v="Yes"/>
    <x v="3"/>
    <x v="2"/>
  </r>
  <r>
    <s v="EMP0009"/>
    <s v="Diya Dugar"/>
    <n v="46"/>
    <x v="3"/>
    <x v="3"/>
    <x v="0"/>
    <d v="2022-10-07T00:00:00"/>
    <d v="2025-10-23T00:00:00"/>
    <x v="3"/>
    <n v="43301"/>
    <n v="77"/>
    <n v="5"/>
    <n v="34"/>
    <x v="1"/>
    <s v="Yes"/>
    <x v="2"/>
    <x v="2"/>
  </r>
  <r>
    <s v="EMP0010"/>
    <s v="Kartik Sandal"/>
    <n v="58"/>
    <x v="4"/>
    <x v="2"/>
    <x v="0"/>
    <d v="2025-03-10T00:00:00"/>
    <m/>
    <x v="7"/>
    <n v="91784"/>
    <n v="85"/>
    <n v="1"/>
    <n v="3"/>
    <x v="2"/>
    <s v="No"/>
    <x v="2"/>
    <x v="0"/>
  </r>
  <r>
    <s v="EMP0011"/>
    <s v="Taran Ahluwalia"/>
    <n v="25"/>
    <x v="4"/>
    <x v="3"/>
    <x v="1"/>
    <d v="2021-11-10T00:00:00"/>
    <d v="2024-06-21T00:00:00"/>
    <x v="8"/>
    <n v="94352"/>
    <n v="78"/>
    <n v="5"/>
    <n v="0"/>
    <x v="0"/>
    <s v="Yes"/>
    <x v="3"/>
    <x v="0"/>
  </r>
  <r>
    <s v="EMP0012"/>
    <s v="Ehsaan Vasa"/>
    <n v="38"/>
    <x v="3"/>
    <x v="2"/>
    <x v="4"/>
    <d v="2025-01-16T00:00:00"/>
    <d v="2026-04-30T00:00:00"/>
    <x v="9"/>
    <n v="81985"/>
    <n v="75"/>
    <n v="4"/>
    <n v="0"/>
    <x v="0"/>
    <s v="Yes"/>
    <x v="0"/>
    <x v="0"/>
  </r>
  <r>
    <s v="EMP0013"/>
    <s v="Hiran Ramakrishnan"/>
    <n v="53"/>
    <x v="0"/>
    <x v="4"/>
    <x v="4"/>
    <d v="2025-11-29T00:00:00"/>
    <m/>
    <x v="9"/>
    <n v="108748"/>
    <n v="86"/>
    <n v="5"/>
    <n v="12"/>
    <x v="2"/>
    <s v="No"/>
    <x v="2"/>
    <x v="0"/>
  </r>
  <r>
    <s v="EMP0014"/>
    <s v="Sana Yadav"/>
    <n v="54"/>
    <x v="5"/>
    <x v="4"/>
    <x v="3"/>
    <d v="2023-02-05T00:00:00"/>
    <d v="2026-04-30T00:00:00"/>
    <x v="10"/>
    <n v="27552"/>
    <n v="73"/>
    <n v="3"/>
    <n v="19"/>
    <x v="2"/>
    <s v="Yes"/>
    <x v="2"/>
    <x v="1"/>
  </r>
  <r>
    <s v="EMP0015"/>
    <s v="Purab Soman"/>
    <n v="26"/>
    <x v="3"/>
    <x v="3"/>
    <x v="4"/>
    <d v="2021-04-29T00:00:00"/>
    <d v="2022-01-05T00:00:00"/>
    <x v="11"/>
    <n v="41483"/>
    <n v="74"/>
    <n v="4"/>
    <n v="35"/>
    <x v="2"/>
    <s v="Yes"/>
    <x v="1"/>
    <x v="2"/>
  </r>
  <r>
    <s v="EMP0016"/>
    <s v="Jhanvi Khanna"/>
    <n v="34"/>
    <x v="2"/>
    <x v="0"/>
    <x v="3"/>
    <d v="2022-06-27T00:00:00"/>
    <m/>
    <x v="6"/>
    <n v="113039"/>
    <n v="90"/>
    <n v="3"/>
    <n v="28"/>
    <x v="0"/>
    <s v="No"/>
    <x v="1"/>
    <x v="0"/>
  </r>
  <r>
    <s v="EMP0017"/>
    <s v="Shamik Srinivas"/>
    <n v="35"/>
    <x v="5"/>
    <x v="2"/>
    <x v="4"/>
    <d v="2023-07-14T00:00:00"/>
    <d v="2025-03-02T00:00:00"/>
    <x v="12"/>
    <n v="97603"/>
    <n v="77"/>
    <n v="5"/>
    <n v="14"/>
    <x v="2"/>
    <s v="Yes"/>
    <x v="1"/>
    <x v="0"/>
  </r>
  <r>
    <s v="EMP0018"/>
    <s v="Prerak Tak"/>
    <n v="25"/>
    <x v="5"/>
    <x v="2"/>
    <x v="4"/>
    <d v="2021-05-26T00:00:00"/>
    <d v="2022-12-05T00:00:00"/>
    <x v="13"/>
    <n v="56195"/>
    <n v="78"/>
    <n v="4"/>
    <n v="13"/>
    <x v="0"/>
    <s v="Yes"/>
    <x v="3"/>
    <x v="2"/>
  </r>
  <r>
    <s v="EMP0019"/>
    <s v="Mishti Bose"/>
    <n v="36"/>
    <x v="4"/>
    <x v="3"/>
    <x v="0"/>
    <d v="2021-09-28T00:00:00"/>
    <m/>
    <x v="0"/>
    <n v="37704"/>
    <n v="91"/>
    <n v="4"/>
    <n v="22"/>
    <x v="1"/>
    <s v="No"/>
    <x v="0"/>
    <x v="1"/>
  </r>
  <r>
    <s v="EMP0020"/>
    <s v="Purab Trivedi"/>
    <n v="24"/>
    <x v="3"/>
    <x v="1"/>
    <x v="4"/>
    <d v="2023-04-22T00:00:00"/>
    <m/>
    <x v="6"/>
    <n v="69473"/>
    <n v="95"/>
    <n v="1"/>
    <n v="15"/>
    <x v="2"/>
    <s v="No"/>
    <x v="3"/>
    <x v="2"/>
  </r>
  <r>
    <s v="EMP0021"/>
    <s v="Miraya Krishnamurthy"/>
    <n v="29"/>
    <x v="4"/>
    <x v="0"/>
    <x v="3"/>
    <d v="2022-01-25T00:00:00"/>
    <m/>
    <x v="8"/>
    <n v="57742"/>
    <n v="97"/>
    <n v="1"/>
    <n v="28"/>
    <x v="0"/>
    <s v="No"/>
    <x v="1"/>
    <x v="2"/>
  </r>
  <r>
    <s v="EMP0022"/>
    <s v="Rhea Behl"/>
    <n v="21"/>
    <x v="5"/>
    <x v="0"/>
    <x v="0"/>
    <d v="2021-07-20T00:00:00"/>
    <d v="2024-10-29T00:00:00"/>
    <x v="2"/>
    <n v="88653"/>
    <n v="85"/>
    <n v="2"/>
    <n v="25"/>
    <x v="2"/>
    <s v="Yes"/>
    <x v="3"/>
    <x v="0"/>
  </r>
  <r>
    <s v="EMP0023"/>
    <s v="Himmat Gade"/>
    <n v="21"/>
    <x v="4"/>
    <x v="2"/>
    <x v="2"/>
    <d v="2021-12-04T00:00:00"/>
    <m/>
    <x v="9"/>
    <n v="80444"/>
    <n v="92"/>
    <n v="5"/>
    <n v="31"/>
    <x v="2"/>
    <s v="No"/>
    <x v="3"/>
    <x v="0"/>
  </r>
  <r>
    <s v="EMP0024"/>
    <s v="Romil Sachar"/>
    <n v="34"/>
    <x v="5"/>
    <x v="4"/>
    <x v="1"/>
    <d v="2022-01-24T00:00:00"/>
    <m/>
    <x v="14"/>
    <n v="66104"/>
    <n v="71"/>
    <n v="1"/>
    <n v="37"/>
    <x v="1"/>
    <s v="No"/>
    <x v="1"/>
    <x v="2"/>
  </r>
  <r>
    <s v="EMP0025"/>
    <s v="Kiara Bala"/>
    <n v="53"/>
    <x v="5"/>
    <x v="0"/>
    <x v="4"/>
    <d v="2023-10-27T00:00:00"/>
    <d v="2024-05-20T00:00:00"/>
    <x v="1"/>
    <n v="33907"/>
    <n v="91"/>
    <n v="2"/>
    <n v="25"/>
    <x v="2"/>
    <s v="Yes"/>
    <x v="2"/>
    <x v="1"/>
  </r>
  <r>
    <s v="EMP0026"/>
    <s v="Advik Shere"/>
    <n v="26"/>
    <x v="4"/>
    <x v="4"/>
    <x v="1"/>
    <d v="2026-04-13T00:00:00"/>
    <d v="2026-04-30T00:00:00"/>
    <x v="13"/>
    <n v="66467"/>
    <n v="99"/>
    <n v="3"/>
    <n v="13"/>
    <x v="0"/>
    <s v="Yes"/>
    <x v="1"/>
    <x v="2"/>
  </r>
  <r>
    <s v="EMP0027"/>
    <s v="Vivaan Char"/>
    <n v="36"/>
    <x v="1"/>
    <x v="3"/>
    <x v="0"/>
    <d v="2025-01-06T00:00:00"/>
    <m/>
    <x v="9"/>
    <n v="84929"/>
    <n v="80"/>
    <n v="1"/>
    <n v="0"/>
    <x v="1"/>
    <s v="No"/>
    <x v="0"/>
    <x v="0"/>
  </r>
  <r>
    <s v="EMP0028"/>
    <s v="Hrishita Yogi"/>
    <n v="55"/>
    <x v="0"/>
    <x v="4"/>
    <x v="3"/>
    <d v="2024-06-26T00:00:00"/>
    <d v="2025-02-21T00:00:00"/>
    <x v="7"/>
    <n v="70745"/>
    <n v="98"/>
    <n v="1"/>
    <n v="15"/>
    <x v="1"/>
    <s v="Yes"/>
    <x v="2"/>
    <x v="2"/>
  </r>
  <r>
    <s v="EMP0029"/>
    <s v="Prerak Dua"/>
    <n v="55"/>
    <x v="3"/>
    <x v="2"/>
    <x v="1"/>
    <d v="2022-08-07T00:00:00"/>
    <d v="2025-04-20T00:00:00"/>
    <x v="13"/>
    <n v="26025"/>
    <n v="91"/>
    <n v="5"/>
    <n v="19"/>
    <x v="0"/>
    <s v="Yes"/>
    <x v="2"/>
    <x v="1"/>
  </r>
  <r>
    <s v="EMP0030"/>
    <s v="Veer Khalsa"/>
    <n v="28"/>
    <x v="5"/>
    <x v="4"/>
    <x v="0"/>
    <d v="2021-08-01T00:00:00"/>
    <d v="2023-04-24T00:00:00"/>
    <x v="3"/>
    <n v="61930"/>
    <n v="89"/>
    <n v="2"/>
    <n v="21"/>
    <x v="2"/>
    <s v="Yes"/>
    <x v="1"/>
    <x v="2"/>
  </r>
  <r>
    <s v="EMP0031"/>
    <s v="Ishita Bahl"/>
    <n v="53"/>
    <x v="4"/>
    <x v="2"/>
    <x v="4"/>
    <d v="2024-11-08T00:00:00"/>
    <m/>
    <x v="15"/>
    <n v="108136"/>
    <n v="83"/>
    <n v="3"/>
    <n v="2"/>
    <x v="2"/>
    <s v="No"/>
    <x v="2"/>
    <x v="0"/>
  </r>
  <r>
    <s v="EMP0032"/>
    <s v="Ivana Rau"/>
    <n v="31"/>
    <x v="3"/>
    <x v="3"/>
    <x v="1"/>
    <d v="2022-11-15T00:00:00"/>
    <d v="2024-08-02T00:00:00"/>
    <x v="2"/>
    <n v="98519"/>
    <n v="70"/>
    <n v="1"/>
    <n v="4"/>
    <x v="0"/>
    <s v="Yes"/>
    <x v="1"/>
    <x v="0"/>
  </r>
  <r>
    <s v="EMP0033"/>
    <s v="Samarth Ahluwalia"/>
    <n v="44"/>
    <x v="2"/>
    <x v="4"/>
    <x v="0"/>
    <d v="2026-01-26T00:00:00"/>
    <d v="2026-04-30T00:00:00"/>
    <x v="2"/>
    <n v="41704"/>
    <n v="71"/>
    <n v="3"/>
    <n v="23"/>
    <x v="2"/>
    <s v="Yes"/>
    <x v="0"/>
    <x v="2"/>
  </r>
  <r>
    <s v="EMP0034"/>
    <s v="Hrishita Lad"/>
    <n v="34"/>
    <x v="3"/>
    <x v="0"/>
    <x v="4"/>
    <d v="2026-01-15T00:00:00"/>
    <m/>
    <x v="4"/>
    <n v="98385"/>
    <n v="98"/>
    <n v="4"/>
    <n v="39"/>
    <x v="0"/>
    <s v="No"/>
    <x v="1"/>
    <x v="0"/>
  </r>
  <r>
    <s v="EMP0035"/>
    <s v="Anahita Bath"/>
    <n v="32"/>
    <x v="4"/>
    <x v="1"/>
    <x v="0"/>
    <d v="2021-11-13T00:00:00"/>
    <d v="2023-01-09T00:00:00"/>
    <x v="16"/>
    <n v="78964"/>
    <n v="95"/>
    <n v="2"/>
    <n v="17"/>
    <x v="2"/>
    <s v="Yes"/>
    <x v="1"/>
    <x v="2"/>
  </r>
  <r>
    <s v="EMP0036"/>
    <s v="Advik Bava"/>
    <n v="23"/>
    <x v="4"/>
    <x v="0"/>
    <x v="0"/>
    <d v="2025-06-01T00:00:00"/>
    <d v="2026-04-30T00:00:00"/>
    <x v="8"/>
    <n v="70830"/>
    <n v="79"/>
    <n v="2"/>
    <n v="14"/>
    <x v="2"/>
    <s v="Yes"/>
    <x v="3"/>
    <x v="2"/>
  </r>
  <r>
    <s v="EMP0037"/>
    <s v="Oorja Maharaj"/>
    <n v="42"/>
    <x v="1"/>
    <x v="1"/>
    <x v="3"/>
    <d v="2024-09-13T00:00:00"/>
    <d v="2026-04-30T00:00:00"/>
    <x v="4"/>
    <n v="109080"/>
    <n v="86"/>
    <n v="4"/>
    <n v="34"/>
    <x v="1"/>
    <s v="Yes"/>
    <x v="0"/>
    <x v="0"/>
  </r>
  <r>
    <s v="EMP0038"/>
    <s v="Azad Sarraf"/>
    <n v="37"/>
    <x v="0"/>
    <x v="4"/>
    <x v="3"/>
    <d v="2026-04-08T00:00:00"/>
    <d v="2026-04-30T00:00:00"/>
    <x v="14"/>
    <n v="39208"/>
    <n v="89"/>
    <n v="4"/>
    <n v="22"/>
    <x v="0"/>
    <s v="Yes"/>
    <x v="0"/>
    <x v="1"/>
  </r>
  <r>
    <s v="EMP0039"/>
    <s v="Badal Dua"/>
    <n v="48"/>
    <x v="2"/>
    <x v="4"/>
    <x v="4"/>
    <d v="2025-05-30T00:00:00"/>
    <m/>
    <x v="6"/>
    <n v="100574"/>
    <n v="76"/>
    <n v="3"/>
    <n v="2"/>
    <x v="0"/>
    <s v="No"/>
    <x v="2"/>
    <x v="0"/>
  </r>
  <r>
    <s v="EMP0040"/>
    <s v="Badal Kulkarni"/>
    <n v="55"/>
    <x v="3"/>
    <x v="0"/>
    <x v="3"/>
    <d v="2023-06-13T00:00:00"/>
    <d v="2026-04-30T00:00:00"/>
    <x v="2"/>
    <n v="34171"/>
    <n v="100"/>
    <n v="3"/>
    <n v="39"/>
    <x v="1"/>
    <s v="Yes"/>
    <x v="2"/>
    <x v="1"/>
  </r>
  <r>
    <s v="EMP0041"/>
    <s v="Ivana Sibal"/>
    <n v="53"/>
    <x v="1"/>
    <x v="3"/>
    <x v="3"/>
    <d v="2024-09-20T00:00:00"/>
    <d v="2026-04-30T00:00:00"/>
    <x v="6"/>
    <n v="116384"/>
    <n v="79"/>
    <n v="5"/>
    <n v="8"/>
    <x v="2"/>
    <s v="Yes"/>
    <x v="2"/>
    <x v="0"/>
  </r>
  <r>
    <s v="EMP0042"/>
    <s v="Gokul Deo"/>
    <n v="32"/>
    <x v="2"/>
    <x v="4"/>
    <x v="3"/>
    <d v="2023-05-12T00:00:00"/>
    <m/>
    <x v="6"/>
    <n v="96819"/>
    <n v="96"/>
    <n v="1"/>
    <n v="19"/>
    <x v="1"/>
    <s v="No"/>
    <x v="1"/>
    <x v="0"/>
  </r>
  <r>
    <s v="EMP0043"/>
    <s v="Ira Sarin"/>
    <n v="58"/>
    <x v="2"/>
    <x v="2"/>
    <x v="2"/>
    <d v="2022-03-07T00:00:00"/>
    <m/>
    <x v="8"/>
    <n v="82954"/>
    <n v="91"/>
    <n v="2"/>
    <n v="32"/>
    <x v="1"/>
    <s v="No"/>
    <x v="2"/>
    <x v="0"/>
  </r>
  <r>
    <s v="EMP0044"/>
    <s v="Armaan Dora"/>
    <n v="39"/>
    <x v="2"/>
    <x v="4"/>
    <x v="3"/>
    <d v="2025-06-14T00:00:00"/>
    <d v="2026-03-04T00:00:00"/>
    <x v="15"/>
    <n v="55784"/>
    <n v="91"/>
    <n v="3"/>
    <n v="14"/>
    <x v="2"/>
    <s v="Yes"/>
    <x v="0"/>
    <x v="2"/>
  </r>
  <r>
    <s v="EMP0045"/>
    <s v="Anahi Sama"/>
    <n v="36"/>
    <x v="4"/>
    <x v="4"/>
    <x v="4"/>
    <d v="2021-10-29T00:00:00"/>
    <d v="2022-05-01T00:00:00"/>
    <x v="8"/>
    <n v="79321"/>
    <n v="98"/>
    <n v="5"/>
    <n v="12"/>
    <x v="0"/>
    <s v="Yes"/>
    <x v="0"/>
    <x v="2"/>
  </r>
  <r>
    <s v="EMP0046"/>
    <s v="Hazel Koshy"/>
    <n v="52"/>
    <x v="4"/>
    <x v="0"/>
    <x v="0"/>
    <d v="2024-11-27T00:00:00"/>
    <m/>
    <x v="17"/>
    <n v="38970"/>
    <n v="94"/>
    <n v="4"/>
    <n v="14"/>
    <x v="2"/>
    <s v="No"/>
    <x v="2"/>
    <x v="1"/>
  </r>
  <r>
    <s v="EMP0047"/>
    <s v="Hunar Sawhney"/>
    <n v="24"/>
    <x v="2"/>
    <x v="0"/>
    <x v="4"/>
    <d v="2025-07-05T00:00:00"/>
    <m/>
    <x v="8"/>
    <n v="42477"/>
    <n v="95"/>
    <n v="4"/>
    <n v="33"/>
    <x v="0"/>
    <s v="No"/>
    <x v="3"/>
    <x v="2"/>
  </r>
  <r>
    <s v="EMP0048"/>
    <s v="Farhan Upadhyay"/>
    <n v="49"/>
    <x v="2"/>
    <x v="4"/>
    <x v="2"/>
    <d v="2024-05-04T00:00:00"/>
    <m/>
    <x v="11"/>
    <n v="83446"/>
    <n v="98"/>
    <n v="2"/>
    <n v="30"/>
    <x v="1"/>
    <s v="No"/>
    <x v="2"/>
    <x v="0"/>
  </r>
  <r>
    <s v="EMP0049"/>
    <s v="Mannat Kadakia"/>
    <n v="54"/>
    <x v="4"/>
    <x v="0"/>
    <x v="3"/>
    <d v="2022-06-15T00:00:00"/>
    <d v="2024-04-02T00:00:00"/>
    <x v="8"/>
    <n v="35155"/>
    <n v="92"/>
    <n v="3"/>
    <n v="15"/>
    <x v="1"/>
    <s v="Yes"/>
    <x v="2"/>
    <x v="1"/>
  </r>
  <r>
    <s v="EMP0050"/>
    <s v="Ranbir Madan"/>
    <n v="55"/>
    <x v="5"/>
    <x v="0"/>
    <x v="0"/>
    <d v="2022-11-19T00:00:00"/>
    <m/>
    <x v="5"/>
    <n v="75205"/>
    <n v="92"/>
    <n v="2"/>
    <n v="13"/>
    <x v="2"/>
    <s v="No"/>
    <x v="2"/>
    <x v="2"/>
  </r>
  <r>
    <s v="EMP0051"/>
    <s v="Bhamini Chawla"/>
    <n v="42"/>
    <x v="2"/>
    <x v="3"/>
    <x v="2"/>
    <d v="2023-04-30T00:00:00"/>
    <m/>
    <x v="14"/>
    <n v="52110"/>
    <n v="96"/>
    <n v="4"/>
    <n v="24"/>
    <x v="0"/>
    <s v="No"/>
    <x v="0"/>
    <x v="2"/>
  </r>
  <r>
    <s v="EMP0052"/>
    <s v="Purab Lanka"/>
    <n v="51"/>
    <x v="5"/>
    <x v="2"/>
    <x v="3"/>
    <d v="2026-04-22T00:00:00"/>
    <d v="2026-04-30T00:00:00"/>
    <x v="6"/>
    <n v="79921"/>
    <n v="87"/>
    <n v="5"/>
    <n v="38"/>
    <x v="2"/>
    <s v="Yes"/>
    <x v="2"/>
    <x v="2"/>
  </r>
  <r>
    <s v="EMP0053"/>
    <s v="Prisha Kumar"/>
    <n v="48"/>
    <x v="4"/>
    <x v="1"/>
    <x v="2"/>
    <d v="2023-09-27T00:00:00"/>
    <d v="2025-07-06T00:00:00"/>
    <x v="16"/>
    <n v="112670"/>
    <n v="91"/>
    <n v="4"/>
    <n v="10"/>
    <x v="1"/>
    <s v="Yes"/>
    <x v="2"/>
    <x v="0"/>
  </r>
  <r>
    <s v="EMP0054"/>
    <s v="Advik Chhabra"/>
    <n v="22"/>
    <x v="4"/>
    <x v="4"/>
    <x v="1"/>
    <d v="2026-02-27T00:00:00"/>
    <d v="2026-04-30T00:00:00"/>
    <x v="17"/>
    <n v="36003"/>
    <n v="90"/>
    <n v="4"/>
    <n v="8"/>
    <x v="1"/>
    <s v="Yes"/>
    <x v="3"/>
    <x v="1"/>
  </r>
  <r>
    <s v="EMP0055"/>
    <s v="Sara Singh"/>
    <n v="45"/>
    <x v="1"/>
    <x v="0"/>
    <x v="2"/>
    <d v="2022-01-08T00:00:00"/>
    <d v="2023-09-22T00:00:00"/>
    <x v="16"/>
    <n v="69236"/>
    <n v="94"/>
    <n v="4"/>
    <n v="17"/>
    <x v="1"/>
    <s v="Yes"/>
    <x v="0"/>
    <x v="2"/>
  </r>
  <r>
    <s v="EMP0056"/>
    <s v="Onkar Comar"/>
    <n v="22"/>
    <x v="3"/>
    <x v="4"/>
    <x v="4"/>
    <d v="2022-06-01T00:00:00"/>
    <d v="2025-04-19T00:00:00"/>
    <x v="4"/>
    <n v="54389"/>
    <n v="90"/>
    <n v="1"/>
    <n v="2"/>
    <x v="2"/>
    <s v="Yes"/>
    <x v="3"/>
    <x v="2"/>
  </r>
  <r>
    <s v="EMP0057"/>
    <s v="Ivana Chacko"/>
    <n v="22"/>
    <x v="2"/>
    <x v="0"/>
    <x v="0"/>
    <d v="2026-04-29T00:00:00"/>
    <d v="2026-04-30T00:00:00"/>
    <x v="7"/>
    <n v="87070"/>
    <n v="91"/>
    <n v="1"/>
    <n v="36"/>
    <x v="2"/>
    <s v="Yes"/>
    <x v="3"/>
    <x v="0"/>
  </r>
  <r>
    <s v="EMP0058"/>
    <s v="Shray Raval"/>
    <n v="44"/>
    <x v="0"/>
    <x v="4"/>
    <x v="1"/>
    <d v="2023-08-11T00:00:00"/>
    <m/>
    <x v="0"/>
    <n v="46465"/>
    <n v="100"/>
    <n v="3"/>
    <n v="6"/>
    <x v="0"/>
    <s v="No"/>
    <x v="0"/>
    <x v="2"/>
  </r>
  <r>
    <s v="EMP0059"/>
    <s v="Jivika Wali"/>
    <n v="57"/>
    <x v="3"/>
    <x v="3"/>
    <x v="2"/>
    <d v="2021-02-22T00:00:00"/>
    <m/>
    <x v="18"/>
    <n v="34961"/>
    <n v="88"/>
    <n v="2"/>
    <n v="6"/>
    <x v="0"/>
    <s v="No"/>
    <x v="2"/>
    <x v="1"/>
  </r>
  <r>
    <s v="EMP0060"/>
    <s v="Armaan Uppal"/>
    <n v="28"/>
    <x v="2"/>
    <x v="1"/>
    <x v="3"/>
    <d v="2025-05-02T00:00:00"/>
    <m/>
    <x v="11"/>
    <n v="81148"/>
    <n v="91"/>
    <n v="3"/>
    <n v="4"/>
    <x v="0"/>
    <s v="No"/>
    <x v="1"/>
    <x v="0"/>
  </r>
  <r>
    <s v="EMP0061"/>
    <s v="Shayak Bose"/>
    <n v="21"/>
    <x v="4"/>
    <x v="3"/>
    <x v="4"/>
    <d v="2024-08-19T00:00:00"/>
    <m/>
    <x v="2"/>
    <n v="72472"/>
    <n v="90"/>
    <n v="4"/>
    <n v="9"/>
    <x v="1"/>
    <s v="No"/>
    <x v="3"/>
    <x v="2"/>
  </r>
  <r>
    <s v="EMP0062"/>
    <s v="Lavanya Gola"/>
    <n v="55"/>
    <x v="4"/>
    <x v="3"/>
    <x v="2"/>
    <d v="2021-12-27T00:00:00"/>
    <m/>
    <x v="12"/>
    <n v="60179"/>
    <n v="80"/>
    <n v="2"/>
    <n v="5"/>
    <x v="1"/>
    <s v="No"/>
    <x v="2"/>
    <x v="2"/>
  </r>
  <r>
    <s v="EMP0063"/>
    <s v="Tejas Bal"/>
    <n v="36"/>
    <x v="4"/>
    <x v="4"/>
    <x v="1"/>
    <d v="2025-12-11T00:00:00"/>
    <m/>
    <x v="6"/>
    <n v="69092"/>
    <n v="70"/>
    <n v="4"/>
    <n v="20"/>
    <x v="2"/>
    <s v="No"/>
    <x v="0"/>
    <x v="2"/>
  </r>
  <r>
    <s v="EMP0064"/>
    <s v="Mohanlal Bera"/>
    <n v="37"/>
    <x v="1"/>
    <x v="2"/>
    <x v="1"/>
    <d v="2023-09-26T00:00:00"/>
    <d v="2025-12-20T00:00:00"/>
    <x v="3"/>
    <n v="97848"/>
    <n v="70"/>
    <n v="5"/>
    <n v="12"/>
    <x v="2"/>
    <s v="Yes"/>
    <x v="0"/>
    <x v="0"/>
  </r>
  <r>
    <s v="EMP0065"/>
    <s v="Mishti Trivedi"/>
    <n v="52"/>
    <x v="2"/>
    <x v="0"/>
    <x v="2"/>
    <d v="2022-05-10T00:00:00"/>
    <m/>
    <x v="10"/>
    <n v="83743"/>
    <n v="95"/>
    <n v="1"/>
    <n v="5"/>
    <x v="1"/>
    <s v="No"/>
    <x v="2"/>
    <x v="0"/>
  </r>
  <r>
    <s v="EMP0066"/>
    <s v="Shayak Batta"/>
    <n v="36"/>
    <x v="1"/>
    <x v="4"/>
    <x v="3"/>
    <d v="2022-03-30T00:00:00"/>
    <m/>
    <x v="10"/>
    <n v="97544"/>
    <n v="86"/>
    <n v="3"/>
    <n v="27"/>
    <x v="0"/>
    <s v="No"/>
    <x v="0"/>
    <x v="0"/>
  </r>
  <r>
    <s v="EMP0067"/>
    <s v="Divit Chakrabarti"/>
    <n v="43"/>
    <x v="3"/>
    <x v="3"/>
    <x v="3"/>
    <d v="2024-02-02T00:00:00"/>
    <m/>
    <x v="9"/>
    <n v="57951"/>
    <n v="77"/>
    <n v="1"/>
    <n v="12"/>
    <x v="1"/>
    <s v="No"/>
    <x v="0"/>
    <x v="2"/>
  </r>
  <r>
    <s v="EMP0068"/>
    <s v="Siya Ravel"/>
    <n v="34"/>
    <x v="3"/>
    <x v="3"/>
    <x v="3"/>
    <d v="2021-09-02T00:00:00"/>
    <d v="2022-12-28T00:00:00"/>
    <x v="12"/>
    <n v="93765"/>
    <n v="89"/>
    <n v="3"/>
    <n v="6"/>
    <x v="2"/>
    <s v="Yes"/>
    <x v="1"/>
    <x v="0"/>
  </r>
  <r>
    <s v="EMP0069"/>
    <s v="Sana Iyer"/>
    <n v="32"/>
    <x v="1"/>
    <x v="1"/>
    <x v="1"/>
    <d v="2022-08-30T00:00:00"/>
    <d v="2024-12-06T00:00:00"/>
    <x v="7"/>
    <n v="60954"/>
    <n v="71"/>
    <n v="1"/>
    <n v="35"/>
    <x v="1"/>
    <s v="Yes"/>
    <x v="1"/>
    <x v="2"/>
  </r>
  <r>
    <s v="EMP0070"/>
    <s v="Aaryahi Bhakta"/>
    <n v="27"/>
    <x v="5"/>
    <x v="4"/>
    <x v="3"/>
    <d v="2024-11-29T00:00:00"/>
    <d v="2026-04-30T00:00:00"/>
    <x v="10"/>
    <n v="87746"/>
    <n v="84"/>
    <n v="3"/>
    <n v="11"/>
    <x v="2"/>
    <s v="Yes"/>
    <x v="1"/>
    <x v="0"/>
  </r>
  <r>
    <s v="EMP0071"/>
    <s v="Rasha Dugar"/>
    <n v="28"/>
    <x v="5"/>
    <x v="3"/>
    <x v="2"/>
    <d v="2022-06-02T00:00:00"/>
    <m/>
    <x v="15"/>
    <n v="100631"/>
    <n v="90"/>
    <n v="1"/>
    <n v="9"/>
    <x v="2"/>
    <s v="No"/>
    <x v="1"/>
    <x v="0"/>
  </r>
  <r>
    <s v="EMP0072"/>
    <s v="Vidur Kothari"/>
    <n v="26"/>
    <x v="0"/>
    <x v="1"/>
    <x v="1"/>
    <d v="2025-07-20T00:00:00"/>
    <m/>
    <x v="2"/>
    <n v="104471"/>
    <n v="89"/>
    <n v="5"/>
    <n v="14"/>
    <x v="0"/>
    <s v="No"/>
    <x v="1"/>
    <x v="0"/>
  </r>
  <r>
    <s v="EMP0073"/>
    <s v="Pari Goyal"/>
    <n v="49"/>
    <x v="1"/>
    <x v="4"/>
    <x v="2"/>
    <d v="2023-02-19T00:00:00"/>
    <m/>
    <x v="9"/>
    <n v="99531"/>
    <n v="89"/>
    <n v="1"/>
    <n v="39"/>
    <x v="0"/>
    <s v="No"/>
    <x v="2"/>
    <x v="0"/>
  </r>
  <r>
    <s v="EMP0074"/>
    <s v="Tiya Khalsa"/>
    <n v="37"/>
    <x v="3"/>
    <x v="1"/>
    <x v="0"/>
    <d v="2021-07-23T00:00:00"/>
    <d v="2022-12-27T00:00:00"/>
    <x v="5"/>
    <n v="47782"/>
    <n v="87"/>
    <n v="1"/>
    <n v="10"/>
    <x v="2"/>
    <s v="Yes"/>
    <x v="0"/>
    <x v="2"/>
  </r>
  <r>
    <s v="EMP0075"/>
    <s v="Navya Ramanathan"/>
    <n v="51"/>
    <x v="1"/>
    <x v="1"/>
    <x v="0"/>
    <d v="2023-04-17T00:00:00"/>
    <m/>
    <x v="9"/>
    <n v="117662"/>
    <n v="79"/>
    <n v="4"/>
    <n v="4"/>
    <x v="0"/>
    <s v="No"/>
    <x v="2"/>
    <x v="0"/>
  </r>
  <r>
    <s v="EMP0076"/>
    <s v="Nakul Dugar"/>
    <n v="58"/>
    <x v="3"/>
    <x v="0"/>
    <x v="2"/>
    <d v="2022-04-24T00:00:00"/>
    <m/>
    <x v="0"/>
    <n v="96376"/>
    <n v="77"/>
    <n v="2"/>
    <n v="17"/>
    <x v="2"/>
    <s v="No"/>
    <x v="2"/>
    <x v="0"/>
  </r>
  <r>
    <s v="EMP0077"/>
    <s v="Emir Sathe"/>
    <n v="40"/>
    <x v="2"/>
    <x v="4"/>
    <x v="3"/>
    <d v="2021-05-27T00:00:00"/>
    <d v="2022-07-30T00:00:00"/>
    <x v="8"/>
    <n v="41299"/>
    <n v="84"/>
    <n v="3"/>
    <n v="25"/>
    <x v="1"/>
    <s v="Yes"/>
    <x v="0"/>
    <x v="2"/>
  </r>
  <r>
    <s v="EMP0078"/>
    <s v="Ahana  Sachdev"/>
    <n v="49"/>
    <x v="5"/>
    <x v="4"/>
    <x v="4"/>
    <d v="2023-10-22T00:00:00"/>
    <m/>
    <x v="2"/>
    <n v="67247"/>
    <n v="89"/>
    <n v="3"/>
    <n v="1"/>
    <x v="2"/>
    <s v="No"/>
    <x v="2"/>
    <x v="2"/>
  </r>
  <r>
    <s v="EMP0079"/>
    <s v="Krish Rana"/>
    <n v="57"/>
    <x v="5"/>
    <x v="0"/>
    <x v="2"/>
    <d v="2022-04-14T00:00:00"/>
    <d v="2024-01-15T00:00:00"/>
    <x v="13"/>
    <n v="110394"/>
    <n v="84"/>
    <n v="3"/>
    <n v="11"/>
    <x v="0"/>
    <s v="Yes"/>
    <x v="2"/>
    <x v="0"/>
  </r>
  <r>
    <s v="EMP0080"/>
    <s v="Vritika Talwar"/>
    <n v="26"/>
    <x v="4"/>
    <x v="2"/>
    <x v="2"/>
    <d v="2023-06-12T00:00:00"/>
    <m/>
    <x v="16"/>
    <n v="67081"/>
    <n v="91"/>
    <n v="1"/>
    <n v="10"/>
    <x v="1"/>
    <s v="No"/>
    <x v="1"/>
    <x v="2"/>
  </r>
  <r>
    <s v="EMP0081"/>
    <s v="Yasmin Hayer"/>
    <n v="39"/>
    <x v="3"/>
    <x v="3"/>
    <x v="1"/>
    <d v="2023-04-24T00:00:00"/>
    <m/>
    <x v="14"/>
    <n v="84614"/>
    <n v="72"/>
    <n v="3"/>
    <n v="16"/>
    <x v="1"/>
    <s v="No"/>
    <x v="0"/>
    <x v="0"/>
  </r>
  <r>
    <s v="EMP0082"/>
    <s v="Prerak Kata"/>
    <n v="53"/>
    <x v="5"/>
    <x v="4"/>
    <x v="2"/>
    <d v="2021-08-26T00:00:00"/>
    <m/>
    <x v="2"/>
    <n v="32104"/>
    <n v="76"/>
    <n v="5"/>
    <n v="23"/>
    <x v="0"/>
    <s v="No"/>
    <x v="2"/>
    <x v="1"/>
  </r>
  <r>
    <s v="EMP0083"/>
    <s v="Inaaya  Wali"/>
    <n v="49"/>
    <x v="5"/>
    <x v="0"/>
    <x v="3"/>
    <d v="2025-03-30T00:00:00"/>
    <m/>
    <x v="11"/>
    <n v="42172"/>
    <n v="99"/>
    <n v="3"/>
    <n v="28"/>
    <x v="0"/>
    <s v="No"/>
    <x v="2"/>
    <x v="2"/>
  </r>
  <r>
    <s v="EMP0084"/>
    <s v="Bhavin Bose"/>
    <n v="36"/>
    <x v="3"/>
    <x v="0"/>
    <x v="3"/>
    <d v="2023-09-20T00:00:00"/>
    <d v="2024-02-16T00:00:00"/>
    <x v="11"/>
    <n v="26792"/>
    <n v="87"/>
    <n v="4"/>
    <n v="5"/>
    <x v="2"/>
    <s v="Yes"/>
    <x v="0"/>
    <x v="1"/>
  </r>
  <r>
    <s v="EMP0085"/>
    <s v="Ehsaan Bath"/>
    <n v="28"/>
    <x v="3"/>
    <x v="0"/>
    <x v="2"/>
    <d v="2025-09-20T00:00:00"/>
    <d v="2026-04-30T00:00:00"/>
    <x v="9"/>
    <n v="91698"/>
    <n v="92"/>
    <n v="3"/>
    <n v="26"/>
    <x v="1"/>
    <s v="Yes"/>
    <x v="1"/>
    <x v="0"/>
  </r>
  <r>
    <s v="EMP0086"/>
    <s v="Nehmat Dhar"/>
    <n v="56"/>
    <x v="0"/>
    <x v="3"/>
    <x v="0"/>
    <d v="2023-08-26T00:00:00"/>
    <d v="2026-04-30T00:00:00"/>
    <x v="1"/>
    <n v="91616"/>
    <n v="93"/>
    <n v="2"/>
    <n v="4"/>
    <x v="1"/>
    <s v="Yes"/>
    <x v="2"/>
    <x v="0"/>
  </r>
  <r>
    <s v="EMP0087"/>
    <s v="Yasmin Ganesan"/>
    <n v="42"/>
    <x v="2"/>
    <x v="2"/>
    <x v="4"/>
    <d v="2025-05-02T00:00:00"/>
    <m/>
    <x v="9"/>
    <n v="64132"/>
    <n v="96"/>
    <n v="5"/>
    <n v="37"/>
    <x v="0"/>
    <s v="No"/>
    <x v="0"/>
    <x v="2"/>
  </r>
  <r>
    <s v="EMP0088"/>
    <s v="Raghav Swamy"/>
    <n v="55"/>
    <x v="4"/>
    <x v="2"/>
    <x v="3"/>
    <d v="2023-09-30T00:00:00"/>
    <d v="2026-04-30T00:00:00"/>
    <x v="11"/>
    <n v="96228"/>
    <n v="82"/>
    <n v="4"/>
    <n v="20"/>
    <x v="2"/>
    <s v="Yes"/>
    <x v="2"/>
    <x v="0"/>
  </r>
  <r>
    <s v="EMP0089"/>
    <s v="Alia Gill"/>
    <n v="35"/>
    <x v="4"/>
    <x v="1"/>
    <x v="3"/>
    <d v="2024-11-29T00:00:00"/>
    <d v="2026-04-30T00:00:00"/>
    <x v="10"/>
    <n v="117435"/>
    <n v="99"/>
    <n v="4"/>
    <n v="24"/>
    <x v="0"/>
    <s v="Yes"/>
    <x v="1"/>
    <x v="0"/>
  </r>
  <r>
    <s v="EMP0090"/>
    <s v="Riaan Dhar"/>
    <n v="23"/>
    <x v="0"/>
    <x v="4"/>
    <x v="1"/>
    <d v="2025-06-11T00:00:00"/>
    <d v="2026-04-30T00:00:00"/>
    <x v="16"/>
    <n v="38154"/>
    <n v="97"/>
    <n v="4"/>
    <n v="6"/>
    <x v="0"/>
    <s v="Yes"/>
    <x v="3"/>
    <x v="1"/>
  </r>
  <r>
    <s v="EMP0091"/>
    <s v="Pihu Garde"/>
    <n v="21"/>
    <x v="3"/>
    <x v="0"/>
    <x v="2"/>
    <d v="2026-02-08T00:00:00"/>
    <m/>
    <x v="7"/>
    <n v="34807"/>
    <n v="85"/>
    <n v="3"/>
    <n v="21"/>
    <x v="0"/>
    <s v="No"/>
    <x v="3"/>
    <x v="1"/>
  </r>
  <r>
    <s v="EMP0092"/>
    <s v="Ahana  Sathe"/>
    <n v="26"/>
    <x v="1"/>
    <x v="4"/>
    <x v="2"/>
    <d v="2024-11-19T00:00:00"/>
    <m/>
    <x v="16"/>
    <n v="107155"/>
    <n v="92"/>
    <n v="4"/>
    <n v="34"/>
    <x v="2"/>
    <s v="No"/>
    <x v="1"/>
    <x v="0"/>
  </r>
  <r>
    <s v="EMP0093"/>
    <s v="Badal Goda"/>
    <n v="39"/>
    <x v="0"/>
    <x v="1"/>
    <x v="2"/>
    <d v="2024-06-18T00:00:00"/>
    <d v="2026-01-09T00:00:00"/>
    <x v="0"/>
    <n v="108066"/>
    <n v="92"/>
    <n v="1"/>
    <n v="28"/>
    <x v="2"/>
    <s v="Yes"/>
    <x v="0"/>
    <x v="0"/>
  </r>
  <r>
    <s v="EMP0094"/>
    <s v="Ranbir Karan"/>
    <n v="22"/>
    <x v="5"/>
    <x v="2"/>
    <x v="4"/>
    <d v="2024-11-22T00:00:00"/>
    <m/>
    <x v="9"/>
    <n v="71984"/>
    <n v="81"/>
    <n v="4"/>
    <n v="9"/>
    <x v="2"/>
    <s v="No"/>
    <x v="3"/>
    <x v="2"/>
  </r>
  <r>
    <s v="EMP0095"/>
    <s v="Sara Ganesh"/>
    <n v="57"/>
    <x v="3"/>
    <x v="0"/>
    <x v="0"/>
    <d v="2023-12-24T00:00:00"/>
    <m/>
    <x v="19"/>
    <n v="35350"/>
    <n v="89"/>
    <n v="4"/>
    <n v="39"/>
    <x v="0"/>
    <s v="No"/>
    <x v="2"/>
    <x v="1"/>
  </r>
  <r>
    <s v="EMP0096"/>
    <s v="Lakshit Tella"/>
    <n v="58"/>
    <x v="0"/>
    <x v="0"/>
    <x v="2"/>
    <d v="2022-05-09T00:00:00"/>
    <m/>
    <x v="3"/>
    <n v="85236"/>
    <n v="78"/>
    <n v="1"/>
    <n v="29"/>
    <x v="1"/>
    <s v="No"/>
    <x v="2"/>
    <x v="0"/>
  </r>
  <r>
    <s v="EMP0097"/>
    <s v="Jayesh Rau"/>
    <n v="49"/>
    <x v="1"/>
    <x v="4"/>
    <x v="3"/>
    <d v="2024-10-19T00:00:00"/>
    <d v="2025-06-17T00:00:00"/>
    <x v="2"/>
    <n v="115480"/>
    <n v="78"/>
    <n v="4"/>
    <n v="19"/>
    <x v="2"/>
    <s v="Yes"/>
    <x v="2"/>
    <x v="0"/>
  </r>
  <r>
    <s v="EMP0098"/>
    <s v="Vihaan Konda"/>
    <n v="27"/>
    <x v="0"/>
    <x v="3"/>
    <x v="1"/>
    <d v="2023-02-27T00:00:00"/>
    <m/>
    <x v="4"/>
    <n v="100341"/>
    <n v="79"/>
    <n v="3"/>
    <n v="1"/>
    <x v="0"/>
    <s v="No"/>
    <x v="1"/>
    <x v="0"/>
  </r>
  <r>
    <s v="EMP0099"/>
    <s v="Nirvaan Varma"/>
    <n v="21"/>
    <x v="2"/>
    <x v="1"/>
    <x v="1"/>
    <d v="2023-03-22T00:00:00"/>
    <m/>
    <x v="10"/>
    <n v="62512"/>
    <n v="94"/>
    <n v="2"/>
    <n v="38"/>
    <x v="1"/>
    <s v="No"/>
    <x v="3"/>
    <x v="2"/>
  </r>
  <r>
    <s v="EMP0100"/>
    <s v="Ivana Choudhary"/>
    <n v="29"/>
    <x v="3"/>
    <x v="1"/>
    <x v="4"/>
    <d v="2022-03-25T00:00:00"/>
    <d v="2023-11-18T00:00:00"/>
    <x v="9"/>
    <n v="82779"/>
    <n v="71"/>
    <n v="5"/>
    <n v="23"/>
    <x v="0"/>
    <s v="Yes"/>
    <x v="1"/>
    <x v="0"/>
  </r>
  <r>
    <s v="EMP0101"/>
    <s v="Hrishita Aurora"/>
    <n v="41"/>
    <x v="3"/>
    <x v="3"/>
    <x v="0"/>
    <d v="2021-09-27T00:00:00"/>
    <d v="2023-08-22T00:00:00"/>
    <x v="18"/>
    <n v="42322"/>
    <n v="95"/>
    <n v="5"/>
    <n v="23"/>
    <x v="0"/>
    <s v="Yes"/>
    <x v="0"/>
    <x v="2"/>
  </r>
  <r>
    <s v="EMP0102"/>
    <s v="Zeeshan Hari"/>
    <n v="31"/>
    <x v="1"/>
    <x v="3"/>
    <x v="3"/>
    <d v="2023-10-25T00:00:00"/>
    <m/>
    <x v="16"/>
    <n v="40095"/>
    <n v="84"/>
    <n v="1"/>
    <n v="9"/>
    <x v="2"/>
    <s v="No"/>
    <x v="1"/>
    <x v="2"/>
  </r>
  <r>
    <s v="EMP0103"/>
    <s v="Vardaniya Thakur"/>
    <n v="56"/>
    <x v="1"/>
    <x v="1"/>
    <x v="2"/>
    <d v="2025-10-28T00:00:00"/>
    <m/>
    <x v="17"/>
    <n v="59663"/>
    <n v="87"/>
    <n v="1"/>
    <n v="29"/>
    <x v="1"/>
    <s v="No"/>
    <x v="2"/>
    <x v="2"/>
  </r>
  <r>
    <s v="EMP0104"/>
    <s v="Kiara Salvi"/>
    <n v="58"/>
    <x v="4"/>
    <x v="2"/>
    <x v="4"/>
    <d v="2024-10-09T00:00:00"/>
    <m/>
    <x v="5"/>
    <n v="86797"/>
    <n v="70"/>
    <n v="5"/>
    <n v="35"/>
    <x v="1"/>
    <s v="No"/>
    <x v="2"/>
    <x v="0"/>
  </r>
  <r>
    <s v="EMP0105"/>
    <s v="Hiran Khare"/>
    <n v="50"/>
    <x v="3"/>
    <x v="2"/>
    <x v="2"/>
    <d v="2026-02-18T00:00:00"/>
    <d v="2026-04-30T00:00:00"/>
    <x v="0"/>
    <n v="43320"/>
    <n v="71"/>
    <n v="1"/>
    <n v="19"/>
    <x v="1"/>
    <s v="Yes"/>
    <x v="2"/>
    <x v="2"/>
  </r>
  <r>
    <s v="EMP0106"/>
    <s v="Baiju Dewan"/>
    <n v="55"/>
    <x v="0"/>
    <x v="3"/>
    <x v="2"/>
    <d v="2021-08-26T00:00:00"/>
    <d v="2023-03-19T00:00:00"/>
    <x v="4"/>
    <n v="112881"/>
    <n v="100"/>
    <n v="5"/>
    <n v="26"/>
    <x v="0"/>
    <s v="Yes"/>
    <x v="2"/>
    <x v="0"/>
  </r>
  <r>
    <s v="EMP0107"/>
    <s v="Veer Keer"/>
    <n v="27"/>
    <x v="4"/>
    <x v="4"/>
    <x v="2"/>
    <d v="2025-03-01T00:00:00"/>
    <d v="2026-04-30T00:00:00"/>
    <x v="3"/>
    <n v="29288"/>
    <n v="92"/>
    <n v="3"/>
    <n v="13"/>
    <x v="1"/>
    <s v="Yes"/>
    <x v="1"/>
    <x v="1"/>
  </r>
  <r>
    <s v="EMP0108"/>
    <s v="Divyansh Sachdev"/>
    <n v="27"/>
    <x v="3"/>
    <x v="2"/>
    <x v="1"/>
    <d v="2023-06-30T00:00:00"/>
    <d v="2025-10-09T00:00:00"/>
    <x v="4"/>
    <n v="32936"/>
    <n v="82"/>
    <n v="3"/>
    <n v="12"/>
    <x v="2"/>
    <s v="Yes"/>
    <x v="1"/>
    <x v="1"/>
  </r>
  <r>
    <s v="EMP0109"/>
    <s v="Lagan Kumer"/>
    <n v="26"/>
    <x v="3"/>
    <x v="0"/>
    <x v="1"/>
    <d v="2026-04-28T00:00:00"/>
    <m/>
    <x v="17"/>
    <n v="31629"/>
    <n v="95"/>
    <n v="3"/>
    <n v="15"/>
    <x v="2"/>
    <s v="No"/>
    <x v="1"/>
    <x v="1"/>
  </r>
  <r>
    <s v="EMP0110"/>
    <s v="Rasha Ahuja"/>
    <n v="56"/>
    <x v="0"/>
    <x v="4"/>
    <x v="0"/>
    <d v="2025-05-31T00:00:00"/>
    <d v="2026-01-16T00:00:00"/>
    <x v="5"/>
    <n v="68064"/>
    <n v="94"/>
    <n v="2"/>
    <n v="38"/>
    <x v="2"/>
    <s v="Yes"/>
    <x v="2"/>
    <x v="2"/>
  </r>
  <r>
    <s v="EMP0111"/>
    <s v="Hazel Kakar"/>
    <n v="55"/>
    <x v="1"/>
    <x v="0"/>
    <x v="4"/>
    <d v="2022-07-22T00:00:00"/>
    <d v="2023-07-13T00:00:00"/>
    <x v="17"/>
    <n v="42275"/>
    <n v="70"/>
    <n v="3"/>
    <n v="15"/>
    <x v="0"/>
    <s v="Yes"/>
    <x v="2"/>
    <x v="2"/>
  </r>
  <r>
    <s v="EMP0112"/>
    <s v="Rohan Bail"/>
    <n v="37"/>
    <x v="5"/>
    <x v="0"/>
    <x v="2"/>
    <d v="2022-10-26T00:00:00"/>
    <d v="2024-01-15T00:00:00"/>
    <x v="13"/>
    <n v="39896"/>
    <n v="93"/>
    <n v="1"/>
    <n v="30"/>
    <x v="1"/>
    <s v="Yes"/>
    <x v="0"/>
    <x v="1"/>
  </r>
  <r>
    <s v="EMP0113"/>
    <s v="Raunak Borra"/>
    <n v="53"/>
    <x v="2"/>
    <x v="1"/>
    <x v="2"/>
    <d v="2025-05-13T00:00:00"/>
    <m/>
    <x v="13"/>
    <n v="54038"/>
    <n v="100"/>
    <n v="5"/>
    <n v="2"/>
    <x v="0"/>
    <s v="No"/>
    <x v="2"/>
    <x v="2"/>
  </r>
  <r>
    <s v="EMP0114"/>
    <s v="Yakshit Kadakia"/>
    <n v="50"/>
    <x v="3"/>
    <x v="1"/>
    <x v="4"/>
    <d v="2025-05-24T00:00:00"/>
    <m/>
    <x v="10"/>
    <n v="77640"/>
    <n v="83"/>
    <n v="1"/>
    <n v="31"/>
    <x v="0"/>
    <s v="No"/>
    <x v="2"/>
    <x v="2"/>
  </r>
  <r>
    <s v="EMP0115"/>
    <s v="Samarth Bobal"/>
    <n v="25"/>
    <x v="5"/>
    <x v="2"/>
    <x v="1"/>
    <d v="2026-02-07T00:00:00"/>
    <m/>
    <x v="7"/>
    <n v="33609"/>
    <n v="74"/>
    <n v="3"/>
    <n v="39"/>
    <x v="0"/>
    <s v="No"/>
    <x v="3"/>
    <x v="1"/>
  </r>
  <r>
    <s v="EMP0116"/>
    <s v="Ayesha Jhaveri"/>
    <n v="45"/>
    <x v="2"/>
    <x v="4"/>
    <x v="3"/>
    <d v="2024-04-13T00:00:00"/>
    <m/>
    <x v="8"/>
    <n v="91263"/>
    <n v="89"/>
    <n v="4"/>
    <n v="6"/>
    <x v="0"/>
    <s v="No"/>
    <x v="0"/>
    <x v="0"/>
  </r>
  <r>
    <s v="EMP0117"/>
    <s v="Vihaan Ahluwalia"/>
    <n v="49"/>
    <x v="0"/>
    <x v="3"/>
    <x v="3"/>
    <d v="2021-08-23T00:00:00"/>
    <d v="2024-04-19T00:00:00"/>
    <x v="8"/>
    <n v="77262"/>
    <n v="83"/>
    <n v="1"/>
    <n v="20"/>
    <x v="1"/>
    <s v="Yes"/>
    <x v="2"/>
    <x v="2"/>
  </r>
  <r>
    <s v="EMP0118"/>
    <s v="Vedika Raju"/>
    <n v="44"/>
    <x v="0"/>
    <x v="3"/>
    <x v="4"/>
    <d v="2022-10-03T00:00:00"/>
    <m/>
    <x v="15"/>
    <n v="36188"/>
    <n v="72"/>
    <n v="4"/>
    <n v="6"/>
    <x v="0"/>
    <s v="No"/>
    <x v="0"/>
    <x v="1"/>
  </r>
  <r>
    <s v="EMP0119"/>
    <s v="Lavanya Ray"/>
    <n v="29"/>
    <x v="2"/>
    <x v="1"/>
    <x v="1"/>
    <d v="2025-02-22T00:00:00"/>
    <m/>
    <x v="11"/>
    <n v="98620"/>
    <n v="80"/>
    <n v="1"/>
    <n v="26"/>
    <x v="1"/>
    <s v="No"/>
    <x v="1"/>
    <x v="0"/>
  </r>
  <r>
    <s v="EMP0120"/>
    <s v="Advik Bhardwaj"/>
    <n v="24"/>
    <x v="1"/>
    <x v="4"/>
    <x v="3"/>
    <d v="2025-11-25T00:00:00"/>
    <m/>
    <x v="4"/>
    <n v="38579"/>
    <n v="88"/>
    <n v="5"/>
    <n v="13"/>
    <x v="2"/>
    <s v="No"/>
    <x v="3"/>
    <x v="1"/>
  </r>
  <r>
    <s v="EMP0121"/>
    <s v="Lakshit Uppal"/>
    <n v="35"/>
    <x v="5"/>
    <x v="2"/>
    <x v="1"/>
    <d v="2024-09-06T00:00:00"/>
    <m/>
    <x v="4"/>
    <n v="40058"/>
    <n v="94"/>
    <n v="3"/>
    <n v="36"/>
    <x v="2"/>
    <s v="No"/>
    <x v="1"/>
    <x v="2"/>
  </r>
  <r>
    <s v="EMP0122"/>
    <s v="Parinaaz Dara"/>
    <n v="56"/>
    <x v="2"/>
    <x v="4"/>
    <x v="1"/>
    <d v="2025-07-12T00:00:00"/>
    <m/>
    <x v="17"/>
    <n v="104822"/>
    <n v="99"/>
    <n v="3"/>
    <n v="1"/>
    <x v="2"/>
    <s v="No"/>
    <x v="2"/>
    <x v="0"/>
  </r>
  <r>
    <s v="EMP0123"/>
    <s v="Pari Chawla"/>
    <n v="42"/>
    <x v="1"/>
    <x v="1"/>
    <x v="0"/>
    <d v="2022-07-14T00:00:00"/>
    <m/>
    <x v="7"/>
    <n v="99228"/>
    <n v="91"/>
    <n v="4"/>
    <n v="4"/>
    <x v="2"/>
    <s v="No"/>
    <x v="0"/>
    <x v="0"/>
  </r>
  <r>
    <s v="EMP0124"/>
    <s v="Suhana Biswas"/>
    <n v="54"/>
    <x v="0"/>
    <x v="3"/>
    <x v="2"/>
    <d v="2025-02-26T00:00:00"/>
    <d v="2025-11-30T00:00:00"/>
    <x v="8"/>
    <n v="69681"/>
    <n v="75"/>
    <n v="3"/>
    <n v="19"/>
    <x v="0"/>
    <s v="Yes"/>
    <x v="2"/>
    <x v="2"/>
  </r>
  <r>
    <s v="EMP0125"/>
    <s v="Zeeshan Atwal"/>
    <n v="30"/>
    <x v="0"/>
    <x v="4"/>
    <x v="4"/>
    <d v="2022-10-27T00:00:00"/>
    <d v="2023-05-12T00:00:00"/>
    <x v="15"/>
    <n v="60665"/>
    <n v="84"/>
    <n v="4"/>
    <n v="31"/>
    <x v="0"/>
    <s v="Yes"/>
    <x v="1"/>
    <x v="2"/>
  </r>
  <r>
    <s v="EMP0126"/>
    <s v="Taran Johal"/>
    <n v="38"/>
    <x v="0"/>
    <x v="4"/>
    <x v="4"/>
    <d v="2023-06-25T00:00:00"/>
    <m/>
    <x v="4"/>
    <n v="81349"/>
    <n v="73"/>
    <n v="3"/>
    <n v="37"/>
    <x v="1"/>
    <s v="No"/>
    <x v="0"/>
    <x v="0"/>
  </r>
  <r>
    <s v="EMP0127"/>
    <s v="Urvi Sekhon"/>
    <n v="23"/>
    <x v="0"/>
    <x v="3"/>
    <x v="1"/>
    <d v="2023-12-16T00:00:00"/>
    <m/>
    <x v="14"/>
    <n v="26007"/>
    <n v="76"/>
    <n v="3"/>
    <n v="13"/>
    <x v="2"/>
    <s v="No"/>
    <x v="3"/>
    <x v="1"/>
  </r>
  <r>
    <s v="EMP0128"/>
    <s v="Navya Kale"/>
    <n v="39"/>
    <x v="1"/>
    <x v="1"/>
    <x v="4"/>
    <d v="2025-04-15T00:00:00"/>
    <m/>
    <x v="10"/>
    <n v="81446"/>
    <n v="75"/>
    <n v="2"/>
    <n v="24"/>
    <x v="0"/>
    <s v="No"/>
    <x v="0"/>
    <x v="0"/>
  </r>
  <r>
    <s v="EMP0129"/>
    <s v="Renee Uppal"/>
    <n v="56"/>
    <x v="3"/>
    <x v="2"/>
    <x v="4"/>
    <d v="2024-12-12T00:00:00"/>
    <d v="2026-04-30T00:00:00"/>
    <x v="6"/>
    <n v="30544"/>
    <n v="83"/>
    <n v="1"/>
    <n v="29"/>
    <x v="2"/>
    <s v="Yes"/>
    <x v="2"/>
    <x v="1"/>
  </r>
  <r>
    <s v="EMP0130"/>
    <s v="Dhanush Gala"/>
    <n v="57"/>
    <x v="4"/>
    <x v="4"/>
    <x v="2"/>
    <d v="2025-11-01T00:00:00"/>
    <m/>
    <x v="2"/>
    <n v="62947"/>
    <n v="73"/>
    <n v="4"/>
    <n v="1"/>
    <x v="1"/>
    <s v="No"/>
    <x v="2"/>
    <x v="2"/>
  </r>
  <r>
    <s v="EMP0131"/>
    <s v="Darshit Din"/>
    <n v="44"/>
    <x v="5"/>
    <x v="3"/>
    <x v="4"/>
    <d v="2021-12-18T00:00:00"/>
    <m/>
    <x v="5"/>
    <n v="82104"/>
    <n v="88"/>
    <n v="4"/>
    <n v="33"/>
    <x v="2"/>
    <s v="No"/>
    <x v="0"/>
    <x v="0"/>
  </r>
  <r>
    <s v="EMP0132"/>
    <s v="Hazel Choudhary"/>
    <n v="42"/>
    <x v="0"/>
    <x v="2"/>
    <x v="0"/>
    <d v="2023-03-22T00:00:00"/>
    <m/>
    <x v="15"/>
    <n v="91910"/>
    <n v="90"/>
    <n v="1"/>
    <n v="33"/>
    <x v="0"/>
    <s v="No"/>
    <x v="0"/>
    <x v="0"/>
  </r>
  <r>
    <s v="EMP0133"/>
    <s v="Ritvik Hans"/>
    <n v="43"/>
    <x v="3"/>
    <x v="0"/>
    <x v="0"/>
    <d v="2022-02-02T00:00:00"/>
    <m/>
    <x v="0"/>
    <n v="44194"/>
    <n v="78"/>
    <n v="2"/>
    <n v="11"/>
    <x v="0"/>
    <s v="No"/>
    <x v="0"/>
    <x v="2"/>
  </r>
  <r>
    <s v="EMP0134"/>
    <s v="Lagan Bumb"/>
    <n v="52"/>
    <x v="4"/>
    <x v="4"/>
    <x v="1"/>
    <d v="2021-11-10T00:00:00"/>
    <d v="2023-02-05T00:00:00"/>
    <x v="8"/>
    <n v="114277"/>
    <n v="99"/>
    <n v="5"/>
    <n v="40"/>
    <x v="0"/>
    <s v="Yes"/>
    <x v="2"/>
    <x v="0"/>
  </r>
  <r>
    <s v="EMP0135"/>
    <s v="Neelofar Swamy"/>
    <n v="30"/>
    <x v="4"/>
    <x v="1"/>
    <x v="2"/>
    <d v="2022-10-24T00:00:00"/>
    <m/>
    <x v="8"/>
    <n v="107756"/>
    <n v="79"/>
    <n v="3"/>
    <n v="37"/>
    <x v="2"/>
    <s v="No"/>
    <x v="1"/>
    <x v="0"/>
  </r>
  <r>
    <s v="EMP0136"/>
    <s v="Prisha Singhal"/>
    <n v="50"/>
    <x v="4"/>
    <x v="1"/>
    <x v="4"/>
    <d v="2022-12-22T00:00:00"/>
    <d v="2024-12-16T00:00:00"/>
    <x v="4"/>
    <n v="62627"/>
    <n v="72"/>
    <n v="1"/>
    <n v="39"/>
    <x v="0"/>
    <s v="Yes"/>
    <x v="2"/>
    <x v="2"/>
  </r>
  <r>
    <s v="EMP0137"/>
    <s v="Hazel Buch"/>
    <n v="50"/>
    <x v="2"/>
    <x v="4"/>
    <x v="4"/>
    <d v="2023-11-05T00:00:00"/>
    <m/>
    <x v="8"/>
    <n v="99928"/>
    <n v="90"/>
    <n v="2"/>
    <n v="20"/>
    <x v="0"/>
    <s v="No"/>
    <x v="2"/>
    <x v="0"/>
  </r>
  <r>
    <s v="EMP0138"/>
    <s v="Raghav Date"/>
    <n v="49"/>
    <x v="5"/>
    <x v="2"/>
    <x v="4"/>
    <d v="2023-09-02T00:00:00"/>
    <d v="2024-04-05T00:00:00"/>
    <x v="13"/>
    <n v="109689"/>
    <n v="75"/>
    <n v="1"/>
    <n v="15"/>
    <x v="0"/>
    <s v="Yes"/>
    <x v="2"/>
    <x v="0"/>
  </r>
  <r>
    <s v="EMP0139"/>
    <s v="Kabir Ghose"/>
    <n v="54"/>
    <x v="2"/>
    <x v="4"/>
    <x v="0"/>
    <d v="2023-06-16T00:00:00"/>
    <m/>
    <x v="4"/>
    <n v="73870"/>
    <n v="99"/>
    <n v="3"/>
    <n v="24"/>
    <x v="1"/>
    <s v="No"/>
    <x v="2"/>
    <x v="2"/>
  </r>
  <r>
    <s v="EMP0140"/>
    <s v="Hrishita Ravi"/>
    <n v="24"/>
    <x v="3"/>
    <x v="2"/>
    <x v="4"/>
    <d v="2025-05-06T00:00:00"/>
    <m/>
    <x v="16"/>
    <n v="37387"/>
    <n v="87"/>
    <n v="4"/>
    <n v="18"/>
    <x v="1"/>
    <s v="No"/>
    <x v="3"/>
    <x v="1"/>
  </r>
  <r>
    <s v="EMP0141"/>
    <s v="Tarini Mahal"/>
    <n v="26"/>
    <x v="2"/>
    <x v="0"/>
    <x v="3"/>
    <d v="2025-01-22T00:00:00"/>
    <d v="2026-04-30T00:00:00"/>
    <x v="9"/>
    <n v="110990"/>
    <n v="92"/>
    <n v="4"/>
    <n v="8"/>
    <x v="0"/>
    <s v="Yes"/>
    <x v="1"/>
    <x v="0"/>
  </r>
  <r>
    <s v="EMP0142"/>
    <s v="Pihu Sachdeva"/>
    <n v="56"/>
    <x v="4"/>
    <x v="2"/>
    <x v="0"/>
    <d v="2024-12-22T00:00:00"/>
    <d v="2026-04-30T00:00:00"/>
    <x v="13"/>
    <n v="37249"/>
    <n v="90"/>
    <n v="4"/>
    <n v="32"/>
    <x v="1"/>
    <s v="Yes"/>
    <x v="2"/>
    <x v="1"/>
  </r>
  <r>
    <s v="EMP0143"/>
    <s v="Urvi Mandal"/>
    <n v="40"/>
    <x v="0"/>
    <x v="0"/>
    <x v="3"/>
    <d v="2021-02-07T00:00:00"/>
    <m/>
    <x v="10"/>
    <n v="50166"/>
    <n v="77"/>
    <n v="2"/>
    <n v="9"/>
    <x v="2"/>
    <s v="No"/>
    <x v="0"/>
    <x v="2"/>
  </r>
  <r>
    <s v="EMP0144"/>
    <s v="Suhana Bhandari"/>
    <n v="55"/>
    <x v="3"/>
    <x v="4"/>
    <x v="4"/>
    <d v="2022-08-29T00:00:00"/>
    <d v="2025-10-01T00:00:00"/>
    <x v="16"/>
    <n v="106006"/>
    <n v="74"/>
    <n v="5"/>
    <n v="24"/>
    <x v="2"/>
    <s v="Yes"/>
    <x v="2"/>
    <x v="0"/>
  </r>
  <r>
    <s v="EMP0145"/>
    <s v="Anay Wable"/>
    <n v="49"/>
    <x v="5"/>
    <x v="3"/>
    <x v="3"/>
    <d v="2021-11-29T00:00:00"/>
    <d v="2023-02-01T00:00:00"/>
    <x v="5"/>
    <n v="83222"/>
    <n v="89"/>
    <n v="3"/>
    <n v="28"/>
    <x v="2"/>
    <s v="Yes"/>
    <x v="2"/>
    <x v="0"/>
  </r>
  <r>
    <s v="EMP0146"/>
    <s v="Alia Raman"/>
    <n v="51"/>
    <x v="0"/>
    <x v="2"/>
    <x v="1"/>
    <d v="2023-12-30T00:00:00"/>
    <d v="2025-12-22T00:00:00"/>
    <x v="8"/>
    <n v="85513"/>
    <n v="94"/>
    <n v="3"/>
    <n v="24"/>
    <x v="0"/>
    <s v="Yes"/>
    <x v="2"/>
    <x v="0"/>
  </r>
  <r>
    <s v="EMP0147"/>
    <s v="Riya Ahuja"/>
    <n v="31"/>
    <x v="0"/>
    <x v="4"/>
    <x v="0"/>
    <d v="2023-12-17T00:00:00"/>
    <m/>
    <x v="3"/>
    <n v="31839"/>
    <n v="90"/>
    <n v="4"/>
    <n v="23"/>
    <x v="0"/>
    <s v="No"/>
    <x v="1"/>
    <x v="1"/>
  </r>
  <r>
    <s v="EMP0148"/>
    <s v="Pari Anand"/>
    <n v="28"/>
    <x v="1"/>
    <x v="1"/>
    <x v="0"/>
    <d v="2026-03-29T00:00:00"/>
    <d v="2026-04-30T00:00:00"/>
    <x v="3"/>
    <n v="83893"/>
    <n v="98"/>
    <n v="5"/>
    <n v="9"/>
    <x v="1"/>
    <s v="Yes"/>
    <x v="1"/>
    <x v="0"/>
  </r>
  <r>
    <s v="EMP0149"/>
    <s v="Farhan Raman"/>
    <n v="43"/>
    <x v="5"/>
    <x v="3"/>
    <x v="4"/>
    <d v="2021-07-07T00:00:00"/>
    <d v="2024-04-15T00:00:00"/>
    <x v="6"/>
    <n v="90799"/>
    <n v="81"/>
    <n v="2"/>
    <n v="24"/>
    <x v="2"/>
    <s v="Yes"/>
    <x v="0"/>
    <x v="0"/>
  </r>
  <r>
    <s v="EMP0150"/>
    <s v="Riya Kuruvilla"/>
    <n v="41"/>
    <x v="5"/>
    <x v="2"/>
    <x v="0"/>
    <d v="2023-02-07T00:00:00"/>
    <d v="2023-07-04T00:00:00"/>
    <x v="7"/>
    <n v="30020"/>
    <n v="79"/>
    <n v="4"/>
    <n v="8"/>
    <x v="0"/>
    <s v="Yes"/>
    <x v="0"/>
    <x v="1"/>
  </r>
  <r>
    <s v="EMP0151"/>
    <s v="Kiaan Dutt"/>
    <n v="21"/>
    <x v="5"/>
    <x v="1"/>
    <x v="3"/>
    <d v="2023-08-19T00:00:00"/>
    <m/>
    <x v="18"/>
    <n v="44597"/>
    <n v="87"/>
    <n v="5"/>
    <n v="33"/>
    <x v="1"/>
    <s v="No"/>
    <x v="3"/>
    <x v="2"/>
  </r>
  <r>
    <s v="EMP0152"/>
    <s v="Elakshi Deo"/>
    <n v="36"/>
    <x v="1"/>
    <x v="1"/>
    <x v="4"/>
    <d v="2021-08-16T00:00:00"/>
    <m/>
    <x v="5"/>
    <n v="80027"/>
    <n v="90"/>
    <n v="5"/>
    <n v="29"/>
    <x v="2"/>
    <s v="No"/>
    <x v="0"/>
    <x v="0"/>
  </r>
  <r>
    <s v="EMP0153"/>
    <s v="Kanav Thakkar"/>
    <n v="55"/>
    <x v="5"/>
    <x v="4"/>
    <x v="1"/>
    <d v="2021-08-16T00:00:00"/>
    <m/>
    <x v="5"/>
    <n v="119181"/>
    <n v="74"/>
    <n v="3"/>
    <n v="27"/>
    <x v="2"/>
    <s v="No"/>
    <x v="2"/>
    <x v="0"/>
  </r>
  <r>
    <s v="EMP0154"/>
    <s v="Manikya Comar"/>
    <n v="36"/>
    <x v="2"/>
    <x v="3"/>
    <x v="0"/>
    <d v="2024-06-13T00:00:00"/>
    <m/>
    <x v="15"/>
    <n v="93614"/>
    <n v="81"/>
    <n v="1"/>
    <n v="33"/>
    <x v="0"/>
    <s v="No"/>
    <x v="0"/>
    <x v="0"/>
  </r>
  <r>
    <s v="EMP0155"/>
    <s v="Mehul Rajan"/>
    <n v="51"/>
    <x v="5"/>
    <x v="3"/>
    <x v="3"/>
    <d v="2023-11-06T00:00:00"/>
    <d v="2026-04-13T00:00:00"/>
    <x v="3"/>
    <n v="27128"/>
    <n v="81"/>
    <n v="1"/>
    <n v="22"/>
    <x v="2"/>
    <s v="Yes"/>
    <x v="2"/>
    <x v="1"/>
  </r>
  <r>
    <s v="EMP0156"/>
    <s v="Arnav Choudhury"/>
    <n v="29"/>
    <x v="5"/>
    <x v="2"/>
    <x v="1"/>
    <d v="2025-02-10T00:00:00"/>
    <d v="2026-04-30T00:00:00"/>
    <x v="16"/>
    <n v="109252"/>
    <n v="75"/>
    <n v="4"/>
    <n v="30"/>
    <x v="0"/>
    <s v="Yes"/>
    <x v="1"/>
    <x v="0"/>
  </r>
  <r>
    <s v="EMP0157"/>
    <s v="Anika Raj"/>
    <n v="50"/>
    <x v="5"/>
    <x v="2"/>
    <x v="0"/>
    <d v="2022-01-09T00:00:00"/>
    <d v="2022-08-16T00:00:00"/>
    <x v="14"/>
    <n v="51144"/>
    <n v="98"/>
    <n v="1"/>
    <n v="20"/>
    <x v="1"/>
    <s v="Yes"/>
    <x v="2"/>
    <x v="2"/>
  </r>
  <r>
    <s v="EMP0158"/>
    <s v="Suhana Chatterjee"/>
    <n v="55"/>
    <x v="4"/>
    <x v="2"/>
    <x v="4"/>
    <d v="2023-11-22T00:00:00"/>
    <m/>
    <x v="18"/>
    <n v="62501"/>
    <n v="81"/>
    <n v="1"/>
    <n v="21"/>
    <x v="1"/>
    <s v="No"/>
    <x v="2"/>
    <x v="2"/>
  </r>
  <r>
    <s v="EMP0159"/>
    <s v="Devansh Kara"/>
    <n v="48"/>
    <x v="4"/>
    <x v="3"/>
    <x v="2"/>
    <d v="2021-09-12T00:00:00"/>
    <m/>
    <x v="16"/>
    <n v="49486"/>
    <n v="85"/>
    <n v="4"/>
    <n v="23"/>
    <x v="0"/>
    <s v="No"/>
    <x v="2"/>
    <x v="2"/>
  </r>
  <r>
    <s v="EMP0160"/>
    <s v="Shalv Batra"/>
    <n v="26"/>
    <x v="4"/>
    <x v="4"/>
    <x v="0"/>
    <d v="2022-07-01T00:00:00"/>
    <d v="2025-02-14T00:00:00"/>
    <x v="11"/>
    <n v="63504"/>
    <n v="80"/>
    <n v="1"/>
    <n v="5"/>
    <x v="1"/>
    <s v="Yes"/>
    <x v="1"/>
    <x v="2"/>
  </r>
  <r>
    <s v="EMP0161"/>
    <s v="Kiaan Bhavsar"/>
    <n v="40"/>
    <x v="4"/>
    <x v="4"/>
    <x v="2"/>
    <d v="2024-09-15T00:00:00"/>
    <m/>
    <x v="19"/>
    <n v="115408"/>
    <n v="84"/>
    <n v="3"/>
    <n v="28"/>
    <x v="2"/>
    <s v="No"/>
    <x v="0"/>
    <x v="0"/>
  </r>
  <r>
    <s v="EMP0162"/>
    <s v="Tarini Bhat"/>
    <n v="48"/>
    <x v="1"/>
    <x v="1"/>
    <x v="4"/>
    <d v="2025-01-28T00:00:00"/>
    <m/>
    <x v="6"/>
    <n v="72619"/>
    <n v="86"/>
    <n v="2"/>
    <n v="1"/>
    <x v="2"/>
    <s v="No"/>
    <x v="2"/>
    <x v="2"/>
  </r>
  <r>
    <s v="EMP0163"/>
    <s v="Aarna Kalita"/>
    <n v="23"/>
    <x v="0"/>
    <x v="1"/>
    <x v="0"/>
    <d v="2025-10-05T00:00:00"/>
    <m/>
    <x v="4"/>
    <n v="72467"/>
    <n v="82"/>
    <n v="5"/>
    <n v="2"/>
    <x v="0"/>
    <s v="No"/>
    <x v="3"/>
    <x v="2"/>
  </r>
  <r>
    <s v="EMP0164"/>
    <s v="Mehul Guha"/>
    <n v="44"/>
    <x v="1"/>
    <x v="3"/>
    <x v="4"/>
    <d v="2021-11-11T00:00:00"/>
    <m/>
    <x v="12"/>
    <n v="43047"/>
    <n v="86"/>
    <n v="3"/>
    <n v="25"/>
    <x v="1"/>
    <s v="No"/>
    <x v="0"/>
    <x v="2"/>
  </r>
  <r>
    <s v="EMP0165"/>
    <s v="Diya Zacharia"/>
    <n v="36"/>
    <x v="5"/>
    <x v="1"/>
    <x v="0"/>
    <d v="2024-08-23T00:00:00"/>
    <m/>
    <x v="10"/>
    <n v="92861"/>
    <n v="82"/>
    <n v="5"/>
    <n v="7"/>
    <x v="1"/>
    <s v="No"/>
    <x v="0"/>
    <x v="0"/>
  </r>
  <r>
    <s v="EMP0166"/>
    <s v="Fateh Luthra"/>
    <n v="49"/>
    <x v="0"/>
    <x v="4"/>
    <x v="3"/>
    <d v="2025-05-07T00:00:00"/>
    <m/>
    <x v="10"/>
    <n v="51237"/>
    <n v="73"/>
    <n v="2"/>
    <n v="4"/>
    <x v="1"/>
    <s v="No"/>
    <x v="2"/>
    <x v="2"/>
  </r>
  <r>
    <s v="EMP0167"/>
    <s v="Keya Toor"/>
    <n v="26"/>
    <x v="3"/>
    <x v="2"/>
    <x v="3"/>
    <d v="2021-12-20T00:00:00"/>
    <m/>
    <x v="15"/>
    <n v="97089"/>
    <n v="87"/>
    <n v="3"/>
    <n v="19"/>
    <x v="2"/>
    <s v="No"/>
    <x v="1"/>
    <x v="0"/>
  </r>
  <r>
    <s v="EMP0168"/>
    <s v="Hiran Guha"/>
    <n v="53"/>
    <x v="0"/>
    <x v="1"/>
    <x v="0"/>
    <d v="2024-12-28T00:00:00"/>
    <d v="2026-04-30T00:00:00"/>
    <x v="7"/>
    <n v="56029"/>
    <n v="95"/>
    <n v="4"/>
    <n v="1"/>
    <x v="1"/>
    <s v="Yes"/>
    <x v="2"/>
    <x v="2"/>
  </r>
  <r>
    <s v="EMP0169"/>
    <s v="Samiha Bedi"/>
    <n v="50"/>
    <x v="2"/>
    <x v="0"/>
    <x v="1"/>
    <d v="2024-02-09T00:00:00"/>
    <m/>
    <x v="15"/>
    <n v="33617"/>
    <n v="79"/>
    <n v="4"/>
    <n v="30"/>
    <x v="0"/>
    <s v="No"/>
    <x v="2"/>
    <x v="1"/>
  </r>
  <r>
    <s v="EMP0170"/>
    <s v="Nirvi Gera"/>
    <n v="57"/>
    <x v="5"/>
    <x v="0"/>
    <x v="3"/>
    <d v="2023-04-22T00:00:00"/>
    <m/>
    <x v="15"/>
    <n v="83979"/>
    <n v="84"/>
    <n v="5"/>
    <n v="22"/>
    <x v="2"/>
    <s v="No"/>
    <x v="2"/>
    <x v="0"/>
  </r>
  <r>
    <s v="EMP0171"/>
    <s v="Anaya Jayaraman"/>
    <n v="48"/>
    <x v="2"/>
    <x v="1"/>
    <x v="4"/>
    <d v="2025-12-04T00:00:00"/>
    <d v="2026-04-30T00:00:00"/>
    <x v="13"/>
    <n v="45056"/>
    <n v="79"/>
    <n v="2"/>
    <n v="10"/>
    <x v="1"/>
    <s v="Yes"/>
    <x v="2"/>
    <x v="2"/>
  </r>
  <r>
    <s v="EMP0172"/>
    <s v="Shaan Singhal"/>
    <n v="54"/>
    <x v="1"/>
    <x v="1"/>
    <x v="3"/>
    <d v="2026-03-30T00:00:00"/>
    <d v="2026-04-30T00:00:00"/>
    <x v="18"/>
    <n v="108238"/>
    <n v="100"/>
    <n v="5"/>
    <n v="17"/>
    <x v="2"/>
    <s v="Yes"/>
    <x v="2"/>
    <x v="0"/>
  </r>
  <r>
    <s v="EMP0173"/>
    <s v="Anahi Mallick"/>
    <n v="55"/>
    <x v="5"/>
    <x v="4"/>
    <x v="0"/>
    <d v="2024-07-04T00:00:00"/>
    <m/>
    <x v="12"/>
    <n v="101106"/>
    <n v="74"/>
    <n v="2"/>
    <n v="39"/>
    <x v="0"/>
    <s v="No"/>
    <x v="2"/>
    <x v="0"/>
  </r>
  <r>
    <s v="EMP0174"/>
    <s v="Mishti Setty"/>
    <n v="57"/>
    <x v="5"/>
    <x v="1"/>
    <x v="4"/>
    <d v="2026-01-22T00:00:00"/>
    <m/>
    <x v="14"/>
    <n v="109076"/>
    <n v="94"/>
    <n v="5"/>
    <n v="16"/>
    <x v="0"/>
    <s v="No"/>
    <x v="2"/>
    <x v="0"/>
  </r>
  <r>
    <s v="EMP0175"/>
    <s v="Diya Mangal"/>
    <n v="22"/>
    <x v="4"/>
    <x v="4"/>
    <x v="3"/>
    <d v="2022-03-08T00:00:00"/>
    <m/>
    <x v="9"/>
    <n v="88300"/>
    <n v="77"/>
    <n v="4"/>
    <n v="19"/>
    <x v="1"/>
    <s v="No"/>
    <x v="3"/>
    <x v="0"/>
  </r>
  <r>
    <s v="EMP0176"/>
    <s v="Adira Krishnamurthy"/>
    <n v="49"/>
    <x v="4"/>
    <x v="3"/>
    <x v="2"/>
    <d v="2021-05-30T00:00:00"/>
    <d v="2022-07-17T00:00:00"/>
    <x v="18"/>
    <n v="69589"/>
    <n v="89"/>
    <n v="2"/>
    <n v="20"/>
    <x v="0"/>
    <s v="Yes"/>
    <x v="2"/>
    <x v="2"/>
  </r>
  <r>
    <s v="EMP0177"/>
    <s v="Amani Sinha"/>
    <n v="46"/>
    <x v="0"/>
    <x v="2"/>
    <x v="1"/>
    <d v="2022-10-16T00:00:00"/>
    <m/>
    <x v="11"/>
    <n v="38917"/>
    <n v="80"/>
    <n v="2"/>
    <n v="29"/>
    <x v="2"/>
    <s v="No"/>
    <x v="2"/>
    <x v="1"/>
  </r>
  <r>
    <s v="EMP0178"/>
    <s v="Reyansh Chander"/>
    <n v="36"/>
    <x v="0"/>
    <x v="1"/>
    <x v="4"/>
    <d v="2022-07-02T00:00:00"/>
    <m/>
    <x v="9"/>
    <n v="75351"/>
    <n v="97"/>
    <n v="5"/>
    <n v="26"/>
    <x v="2"/>
    <s v="No"/>
    <x v="0"/>
    <x v="2"/>
  </r>
  <r>
    <s v="EMP0179"/>
    <s v="Jivin Sama"/>
    <n v="57"/>
    <x v="3"/>
    <x v="2"/>
    <x v="0"/>
    <d v="2025-11-08T00:00:00"/>
    <d v="2026-04-30T00:00:00"/>
    <x v="19"/>
    <n v="90308"/>
    <n v="86"/>
    <n v="4"/>
    <n v="31"/>
    <x v="1"/>
    <s v="Yes"/>
    <x v="2"/>
    <x v="0"/>
  </r>
  <r>
    <s v="EMP0180"/>
    <s v="Tushar Bera"/>
    <n v="46"/>
    <x v="2"/>
    <x v="3"/>
    <x v="0"/>
    <d v="2023-10-16T00:00:00"/>
    <d v="2024-07-16T00:00:00"/>
    <x v="18"/>
    <n v="101460"/>
    <n v="81"/>
    <n v="1"/>
    <n v="3"/>
    <x v="1"/>
    <s v="Yes"/>
    <x v="2"/>
    <x v="0"/>
  </r>
  <r>
    <s v="EMP0181"/>
    <s v="Rasha Bajaj"/>
    <n v="39"/>
    <x v="2"/>
    <x v="1"/>
    <x v="4"/>
    <d v="2023-10-11T00:00:00"/>
    <m/>
    <x v="2"/>
    <n v="42555"/>
    <n v="98"/>
    <n v="3"/>
    <n v="23"/>
    <x v="1"/>
    <s v="No"/>
    <x v="0"/>
    <x v="2"/>
  </r>
  <r>
    <s v="EMP0182"/>
    <s v="Tarini Ghosh"/>
    <n v="24"/>
    <x v="2"/>
    <x v="4"/>
    <x v="0"/>
    <d v="2023-01-20T00:00:00"/>
    <d v="2025-07-18T00:00:00"/>
    <x v="4"/>
    <n v="97512"/>
    <n v="79"/>
    <n v="1"/>
    <n v="24"/>
    <x v="0"/>
    <s v="Yes"/>
    <x v="3"/>
    <x v="0"/>
  </r>
  <r>
    <s v="EMP0183"/>
    <s v="Charvi Kibe"/>
    <n v="28"/>
    <x v="0"/>
    <x v="1"/>
    <x v="2"/>
    <d v="2023-07-12T00:00:00"/>
    <m/>
    <x v="4"/>
    <n v="69444"/>
    <n v="87"/>
    <n v="3"/>
    <n v="9"/>
    <x v="2"/>
    <s v="No"/>
    <x v="1"/>
    <x v="2"/>
  </r>
  <r>
    <s v="EMP0184"/>
    <s v="Jivin Balakrishnan"/>
    <n v="53"/>
    <x v="5"/>
    <x v="1"/>
    <x v="4"/>
    <d v="2024-05-18T00:00:00"/>
    <m/>
    <x v="7"/>
    <n v="118531"/>
    <n v="80"/>
    <n v="4"/>
    <n v="33"/>
    <x v="1"/>
    <s v="No"/>
    <x v="2"/>
    <x v="0"/>
  </r>
  <r>
    <s v="EMP0185"/>
    <s v="Kavya Solanki"/>
    <n v="41"/>
    <x v="0"/>
    <x v="3"/>
    <x v="1"/>
    <d v="2021-11-02T00:00:00"/>
    <d v="2023-12-03T00:00:00"/>
    <x v="9"/>
    <n v="102820"/>
    <n v="80"/>
    <n v="5"/>
    <n v="32"/>
    <x v="0"/>
    <s v="Yes"/>
    <x v="0"/>
    <x v="0"/>
  </r>
  <r>
    <s v="EMP0186"/>
    <s v="Indranil Badal"/>
    <n v="51"/>
    <x v="5"/>
    <x v="2"/>
    <x v="3"/>
    <d v="2023-10-01T00:00:00"/>
    <m/>
    <x v="0"/>
    <n v="79596"/>
    <n v="88"/>
    <n v="3"/>
    <n v="40"/>
    <x v="2"/>
    <s v="No"/>
    <x v="2"/>
    <x v="2"/>
  </r>
  <r>
    <s v="EMP0187"/>
    <s v="Zaina Goyal"/>
    <n v="37"/>
    <x v="3"/>
    <x v="4"/>
    <x v="1"/>
    <d v="2024-05-07T00:00:00"/>
    <m/>
    <x v="5"/>
    <n v="119555"/>
    <n v="71"/>
    <n v="5"/>
    <n v="30"/>
    <x v="2"/>
    <s v="No"/>
    <x v="0"/>
    <x v="0"/>
  </r>
  <r>
    <s v="EMP0188"/>
    <s v="Eshani Wadhwa"/>
    <n v="30"/>
    <x v="3"/>
    <x v="0"/>
    <x v="4"/>
    <d v="2023-12-10T00:00:00"/>
    <m/>
    <x v="12"/>
    <n v="116818"/>
    <n v="73"/>
    <n v="2"/>
    <n v="1"/>
    <x v="1"/>
    <s v="No"/>
    <x v="1"/>
    <x v="0"/>
  </r>
  <r>
    <s v="EMP0189"/>
    <s v="Onkar Lanka"/>
    <n v="30"/>
    <x v="4"/>
    <x v="0"/>
    <x v="2"/>
    <d v="2022-10-05T00:00:00"/>
    <m/>
    <x v="13"/>
    <n v="105147"/>
    <n v="99"/>
    <n v="4"/>
    <n v="3"/>
    <x v="0"/>
    <s v="No"/>
    <x v="1"/>
    <x v="0"/>
  </r>
  <r>
    <s v="EMP0190"/>
    <s v="Siya Cheema"/>
    <n v="51"/>
    <x v="2"/>
    <x v="3"/>
    <x v="3"/>
    <d v="2021-10-10T00:00:00"/>
    <d v="2023-11-04T00:00:00"/>
    <x v="19"/>
    <n v="85249"/>
    <n v="99"/>
    <n v="5"/>
    <n v="21"/>
    <x v="0"/>
    <s v="Yes"/>
    <x v="2"/>
    <x v="0"/>
  </r>
  <r>
    <s v="EMP0191"/>
    <s v="Samar Srinivasan"/>
    <n v="51"/>
    <x v="0"/>
    <x v="0"/>
    <x v="3"/>
    <d v="2022-12-27T00:00:00"/>
    <m/>
    <x v="11"/>
    <n v="64124"/>
    <n v="77"/>
    <n v="3"/>
    <n v="18"/>
    <x v="0"/>
    <s v="No"/>
    <x v="2"/>
    <x v="2"/>
  </r>
  <r>
    <s v="EMP0192"/>
    <s v="Hridaan Raj"/>
    <n v="41"/>
    <x v="4"/>
    <x v="2"/>
    <x v="1"/>
    <d v="2022-03-01T00:00:00"/>
    <m/>
    <x v="3"/>
    <n v="62721"/>
    <n v="73"/>
    <n v="5"/>
    <n v="34"/>
    <x v="1"/>
    <s v="No"/>
    <x v="0"/>
    <x v="2"/>
  </r>
  <r>
    <s v="EMP0193"/>
    <s v="Ryan Sharaf"/>
    <n v="43"/>
    <x v="0"/>
    <x v="2"/>
    <x v="4"/>
    <d v="2026-01-09T00:00:00"/>
    <m/>
    <x v="9"/>
    <n v="118603"/>
    <n v="72"/>
    <n v="3"/>
    <n v="28"/>
    <x v="0"/>
    <s v="No"/>
    <x v="0"/>
    <x v="0"/>
  </r>
  <r>
    <s v="EMP0194"/>
    <s v="Ira Brar"/>
    <n v="34"/>
    <x v="0"/>
    <x v="4"/>
    <x v="3"/>
    <d v="2022-06-10T00:00:00"/>
    <m/>
    <x v="11"/>
    <n v="116248"/>
    <n v="78"/>
    <n v="2"/>
    <n v="6"/>
    <x v="0"/>
    <s v="No"/>
    <x v="1"/>
    <x v="0"/>
  </r>
  <r>
    <s v="EMP0195"/>
    <s v="Ojas Rajagopal"/>
    <n v="24"/>
    <x v="3"/>
    <x v="4"/>
    <x v="0"/>
    <d v="2025-02-26T00:00:00"/>
    <d v="2026-04-30T00:00:00"/>
    <x v="5"/>
    <n v="31880"/>
    <n v="73"/>
    <n v="4"/>
    <n v="21"/>
    <x v="0"/>
    <s v="Yes"/>
    <x v="3"/>
    <x v="1"/>
  </r>
  <r>
    <s v="EMP0196"/>
    <s v="Elakshi Sachar"/>
    <n v="21"/>
    <x v="2"/>
    <x v="0"/>
    <x v="2"/>
    <d v="2023-08-26T00:00:00"/>
    <d v="2024-08-31T00:00:00"/>
    <x v="10"/>
    <n v="87580"/>
    <n v="90"/>
    <n v="2"/>
    <n v="18"/>
    <x v="1"/>
    <s v="Yes"/>
    <x v="3"/>
    <x v="0"/>
  </r>
  <r>
    <s v="EMP0197"/>
    <s v="Advika Zacharia"/>
    <n v="57"/>
    <x v="0"/>
    <x v="4"/>
    <x v="4"/>
    <d v="2022-08-08T00:00:00"/>
    <d v="2023-05-08T00:00:00"/>
    <x v="19"/>
    <n v="79773"/>
    <n v="98"/>
    <n v="2"/>
    <n v="2"/>
    <x v="1"/>
    <s v="Yes"/>
    <x v="2"/>
    <x v="2"/>
  </r>
  <r>
    <s v="EMP0198"/>
    <s v="Aaryahi Dayal"/>
    <n v="32"/>
    <x v="3"/>
    <x v="2"/>
    <x v="4"/>
    <d v="2025-06-02T00:00:00"/>
    <m/>
    <x v="17"/>
    <n v="64110"/>
    <n v="88"/>
    <n v="5"/>
    <n v="6"/>
    <x v="1"/>
    <s v="No"/>
    <x v="1"/>
    <x v="2"/>
  </r>
  <r>
    <s v="EMP0199"/>
    <s v="Kabir Yogi"/>
    <n v="55"/>
    <x v="2"/>
    <x v="3"/>
    <x v="0"/>
    <d v="2022-08-06T00:00:00"/>
    <m/>
    <x v="13"/>
    <n v="86344"/>
    <n v="78"/>
    <n v="2"/>
    <n v="7"/>
    <x v="1"/>
    <s v="No"/>
    <x v="2"/>
    <x v="0"/>
  </r>
  <r>
    <s v="EMP0200"/>
    <s v="Piya Char"/>
    <n v="37"/>
    <x v="3"/>
    <x v="0"/>
    <x v="4"/>
    <d v="2021-11-29T00:00:00"/>
    <m/>
    <x v="16"/>
    <n v="63669"/>
    <n v="88"/>
    <n v="2"/>
    <n v="11"/>
    <x v="0"/>
    <s v="No"/>
    <x v="0"/>
    <x v="2"/>
  </r>
  <r>
    <s v="EMP0201"/>
    <s v="Riya Grover"/>
    <n v="48"/>
    <x v="2"/>
    <x v="2"/>
    <x v="4"/>
    <d v="2025-10-20T00:00:00"/>
    <m/>
    <x v="6"/>
    <n v="112720"/>
    <n v="73"/>
    <n v="2"/>
    <n v="8"/>
    <x v="1"/>
    <s v="No"/>
    <x v="2"/>
    <x v="0"/>
  </r>
  <r>
    <s v="EMP0202"/>
    <s v="Eshani Boase"/>
    <n v="37"/>
    <x v="4"/>
    <x v="0"/>
    <x v="2"/>
    <d v="2022-10-25T00:00:00"/>
    <d v="2023-02-05T00:00:00"/>
    <x v="3"/>
    <n v="68204"/>
    <n v="79"/>
    <n v="5"/>
    <n v="36"/>
    <x v="2"/>
    <s v="Yes"/>
    <x v="0"/>
    <x v="2"/>
  </r>
  <r>
    <s v="EMP0203"/>
    <s v="Pari Chand"/>
    <n v="36"/>
    <x v="5"/>
    <x v="1"/>
    <x v="2"/>
    <d v="2022-06-20T00:00:00"/>
    <m/>
    <x v="9"/>
    <n v="45934"/>
    <n v="82"/>
    <n v="5"/>
    <n v="19"/>
    <x v="0"/>
    <s v="No"/>
    <x v="0"/>
    <x v="2"/>
  </r>
  <r>
    <s v="EMP0204"/>
    <s v="Trisha Sathe"/>
    <n v="44"/>
    <x v="2"/>
    <x v="0"/>
    <x v="0"/>
    <d v="2021-08-29T00:00:00"/>
    <m/>
    <x v="7"/>
    <n v="87676"/>
    <n v="74"/>
    <n v="4"/>
    <n v="38"/>
    <x v="1"/>
    <s v="No"/>
    <x v="0"/>
    <x v="0"/>
  </r>
  <r>
    <s v="EMP0205"/>
    <s v="Anahi Ramaswamy"/>
    <n v="55"/>
    <x v="3"/>
    <x v="0"/>
    <x v="0"/>
    <d v="2023-05-02T00:00:00"/>
    <m/>
    <x v="1"/>
    <n v="35730"/>
    <n v="86"/>
    <n v="4"/>
    <n v="33"/>
    <x v="0"/>
    <s v="No"/>
    <x v="2"/>
    <x v="1"/>
  </r>
  <r>
    <s v="EMP0206"/>
    <s v="Anaya Goel"/>
    <n v="24"/>
    <x v="2"/>
    <x v="4"/>
    <x v="0"/>
    <d v="2023-01-11T00:00:00"/>
    <d v="2023-11-26T00:00:00"/>
    <x v="12"/>
    <n v="95341"/>
    <n v="74"/>
    <n v="2"/>
    <n v="20"/>
    <x v="0"/>
    <s v="Yes"/>
    <x v="3"/>
    <x v="0"/>
  </r>
  <r>
    <s v="EMP0207"/>
    <s v="Ranbir Kara"/>
    <n v="58"/>
    <x v="4"/>
    <x v="1"/>
    <x v="1"/>
    <d v="2023-06-24T00:00:00"/>
    <d v="2024-11-15T00:00:00"/>
    <x v="8"/>
    <n v="32292"/>
    <n v="84"/>
    <n v="2"/>
    <n v="32"/>
    <x v="1"/>
    <s v="Yes"/>
    <x v="2"/>
    <x v="1"/>
  </r>
  <r>
    <s v="EMP0208"/>
    <s v="Lagan Vasa"/>
    <n v="40"/>
    <x v="3"/>
    <x v="1"/>
    <x v="2"/>
    <d v="2023-07-25T00:00:00"/>
    <d v="2026-04-30T00:00:00"/>
    <x v="3"/>
    <n v="25395"/>
    <n v="93"/>
    <n v="2"/>
    <n v="37"/>
    <x v="2"/>
    <s v="Yes"/>
    <x v="0"/>
    <x v="1"/>
  </r>
  <r>
    <s v="EMP0209"/>
    <s v="Kartik Luthra"/>
    <n v="43"/>
    <x v="3"/>
    <x v="1"/>
    <x v="1"/>
    <d v="2021-04-03T00:00:00"/>
    <m/>
    <x v="14"/>
    <n v="34046"/>
    <n v="99"/>
    <n v="4"/>
    <n v="2"/>
    <x v="1"/>
    <s v="No"/>
    <x v="0"/>
    <x v="1"/>
  </r>
  <r>
    <s v="EMP0210"/>
    <s v="Indranil Kota"/>
    <n v="47"/>
    <x v="1"/>
    <x v="3"/>
    <x v="2"/>
    <d v="2023-04-18T00:00:00"/>
    <d v="2024-04-19T00:00:00"/>
    <x v="6"/>
    <n v="74236"/>
    <n v="72"/>
    <n v="5"/>
    <n v="8"/>
    <x v="0"/>
    <s v="Yes"/>
    <x v="2"/>
    <x v="2"/>
  </r>
  <r>
    <s v="EMP0211"/>
    <s v="Azad Singhal"/>
    <n v="28"/>
    <x v="0"/>
    <x v="4"/>
    <x v="2"/>
    <d v="2025-10-28T00:00:00"/>
    <m/>
    <x v="13"/>
    <n v="41691"/>
    <n v="93"/>
    <n v="2"/>
    <n v="0"/>
    <x v="2"/>
    <s v="No"/>
    <x v="1"/>
    <x v="2"/>
  </r>
  <r>
    <s v="EMP0212"/>
    <s v="Pari Varty"/>
    <n v="55"/>
    <x v="4"/>
    <x v="4"/>
    <x v="2"/>
    <d v="2022-09-04T00:00:00"/>
    <m/>
    <x v="5"/>
    <n v="57441"/>
    <n v="84"/>
    <n v="3"/>
    <n v="9"/>
    <x v="1"/>
    <s v="No"/>
    <x v="2"/>
    <x v="2"/>
  </r>
  <r>
    <s v="EMP0213"/>
    <s v="Farhan Golla"/>
    <n v="47"/>
    <x v="2"/>
    <x v="1"/>
    <x v="0"/>
    <d v="2022-01-22T00:00:00"/>
    <d v="2022-06-26T00:00:00"/>
    <x v="18"/>
    <n v="33819"/>
    <n v="73"/>
    <n v="5"/>
    <n v="2"/>
    <x v="1"/>
    <s v="Yes"/>
    <x v="2"/>
    <x v="1"/>
  </r>
  <r>
    <s v="EMP0214"/>
    <s v="Dhanush Batra"/>
    <n v="23"/>
    <x v="4"/>
    <x v="3"/>
    <x v="0"/>
    <d v="2024-05-09T00:00:00"/>
    <d v="2025-12-21T00:00:00"/>
    <x v="11"/>
    <n v="53477"/>
    <n v="94"/>
    <n v="1"/>
    <n v="8"/>
    <x v="0"/>
    <s v="Yes"/>
    <x v="3"/>
    <x v="2"/>
  </r>
  <r>
    <s v="EMP0215"/>
    <s v="Diya Sarna"/>
    <n v="57"/>
    <x v="2"/>
    <x v="2"/>
    <x v="0"/>
    <d v="2022-08-16T00:00:00"/>
    <d v="2024-08-28T00:00:00"/>
    <x v="9"/>
    <n v="43777"/>
    <n v="91"/>
    <n v="5"/>
    <n v="14"/>
    <x v="1"/>
    <s v="Yes"/>
    <x v="2"/>
    <x v="2"/>
  </r>
  <r>
    <s v="EMP0216"/>
    <s v="Krish Din"/>
    <n v="24"/>
    <x v="2"/>
    <x v="4"/>
    <x v="0"/>
    <d v="2022-09-08T00:00:00"/>
    <m/>
    <x v="2"/>
    <n v="97856"/>
    <n v="85"/>
    <n v="1"/>
    <n v="22"/>
    <x v="0"/>
    <s v="No"/>
    <x v="3"/>
    <x v="0"/>
  </r>
  <r>
    <s v="EMP0217"/>
    <s v="Mahika Konda"/>
    <n v="54"/>
    <x v="1"/>
    <x v="3"/>
    <x v="2"/>
    <d v="2024-10-06T00:00:00"/>
    <m/>
    <x v="7"/>
    <n v="64306"/>
    <n v="82"/>
    <n v="2"/>
    <n v="34"/>
    <x v="1"/>
    <s v="No"/>
    <x v="2"/>
    <x v="2"/>
  </r>
  <r>
    <s v="EMP0218"/>
    <s v="Saksham Mall"/>
    <n v="30"/>
    <x v="4"/>
    <x v="1"/>
    <x v="1"/>
    <d v="2022-05-09T00:00:00"/>
    <d v="2024-04-13T00:00:00"/>
    <x v="2"/>
    <n v="79592"/>
    <n v="87"/>
    <n v="5"/>
    <n v="8"/>
    <x v="1"/>
    <s v="Yes"/>
    <x v="1"/>
    <x v="2"/>
  </r>
  <r>
    <s v="EMP0219"/>
    <s v="Adah Ramaswamy"/>
    <n v="34"/>
    <x v="1"/>
    <x v="1"/>
    <x v="2"/>
    <d v="2022-05-13T00:00:00"/>
    <m/>
    <x v="4"/>
    <n v="37119"/>
    <n v="87"/>
    <n v="2"/>
    <n v="3"/>
    <x v="1"/>
    <s v="No"/>
    <x v="1"/>
    <x v="1"/>
  </r>
  <r>
    <s v="EMP0220"/>
    <s v="Mannat Roy"/>
    <n v="33"/>
    <x v="2"/>
    <x v="4"/>
    <x v="0"/>
    <d v="2023-02-12T00:00:00"/>
    <d v="2023-10-09T00:00:00"/>
    <x v="10"/>
    <n v="52379"/>
    <n v="97"/>
    <n v="3"/>
    <n v="19"/>
    <x v="2"/>
    <s v="Yes"/>
    <x v="1"/>
    <x v="2"/>
  </r>
  <r>
    <s v="EMP0221"/>
    <s v="Saksham Bhatti"/>
    <n v="51"/>
    <x v="0"/>
    <x v="4"/>
    <x v="0"/>
    <d v="2022-03-10T00:00:00"/>
    <d v="2023-02-03T00:00:00"/>
    <x v="6"/>
    <n v="56369"/>
    <n v="87"/>
    <n v="3"/>
    <n v="18"/>
    <x v="1"/>
    <s v="Yes"/>
    <x v="2"/>
    <x v="2"/>
  </r>
  <r>
    <s v="EMP0222"/>
    <s v="Kismat Krishnan"/>
    <n v="40"/>
    <x v="1"/>
    <x v="2"/>
    <x v="1"/>
    <d v="2023-08-13T00:00:00"/>
    <m/>
    <x v="10"/>
    <n v="86080"/>
    <n v="73"/>
    <n v="4"/>
    <n v="20"/>
    <x v="2"/>
    <s v="No"/>
    <x v="0"/>
    <x v="0"/>
  </r>
  <r>
    <s v="EMP0223"/>
    <s v="Arhaan Buch"/>
    <n v="47"/>
    <x v="5"/>
    <x v="4"/>
    <x v="0"/>
    <d v="2023-01-30T00:00:00"/>
    <m/>
    <x v="7"/>
    <n v="27125"/>
    <n v="78"/>
    <n v="5"/>
    <n v="37"/>
    <x v="0"/>
    <s v="No"/>
    <x v="2"/>
    <x v="1"/>
  </r>
  <r>
    <s v="EMP0224"/>
    <s v="Aarav Tak"/>
    <n v="39"/>
    <x v="0"/>
    <x v="0"/>
    <x v="3"/>
    <d v="2025-01-14T00:00:00"/>
    <m/>
    <x v="5"/>
    <n v="74786"/>
    <n v="88"/>
    <n v="2"/>
    <n v="31"/>
    <x v="0"/>
    <s v="No"/>
    <x v="0"/>
    <x v="2"/>
  </r>
  <r>
    <s v="EMP0225"/>
    <s v="Adira Sachdev"/>
    <n v="37"/>
    <x v="4"/>
    <x v="3"/>
    <x v="2"/>
    <d v="2024-09-02T00:00:00"/>
    <m/>
    <x v="19"/>
    <n v="71160"/>
    <n v="75"/>
    <n v="2"/>
    <n v="34"/>
    <x v="1"/>
    <s v="No"/>
    <x v="0"/>
    <x v="2"/>
  </r>
  <r>
    <s v="EMP0226"/>
    <s v="Nirvaan Doctor"/>
    <n v="23"/>
    <x v="5"/>
    <x v="1"/>
    <x v="4"/>
    <d v="2022-01-12T00:00:00"/>
    <d v="2025-03-20T00:00:00"/>
    <x v="2"/>
    <n v="43021"/>
    <n v="96"/>
    <n v="2"/>
    <n v="4"/>
    <x v="0"/>
    <s v="Yes"/>
    <x v="3"/>
    <x v="2"/>
  </r>
  <r>
    <s v="EMP0227"/>
    <s v="Vanya Swamy"/>
    <n v="53"/>
    <x v="4"/>
    <x v="2"/>
    <x v="4"/>
    <d v="2021-11-06T00:00:00"/>
    <d v="2023-04-27T00:00:00"/>
    <x v="1"/>
    <n v="108588"/>
    <n v="91"/>
    <n v="5"/>
    <n v="30"/>
    <x v="0"/>
    <s v="Yes"/>
    <x v="2"/>
    <x v="0"/>
  </r>
  <r>
    <s v="EMP0228"/>
    <s v="Arnav Soman"/>
    <n v="55"/>
    <x v="2"/>
    <x v="3"/>
    <x v="4"/>
    <d v="2023-09-27T00:00:00"/>
    <d v="2024-01-08T00:00:00"/>
    <x v="17"/>
    <n v="94391"/>
    <n v="93"/>
    <n v="3"/>
    <n v="34"/>
    <x v="1"/>
    <s v="Yes"/>
    <x v="2"/>
    <x v="0"/>
  </r>
  <r>
    <s v="EMP0229"/>
    <s v="Ishita Biswas"/>
    <n v="32"/>
    <x v="5"/>
    <x v="1"/>
    <x v="1"/>
    <d v="2021-02-05T00:00:00"/>
    <m/>
    <x v="7"/>
    <n v="56584"/>
    <n v="76"/>
    <n v="5"/>
    <n v="33"/>
    <x v="1"/>
    <s v="No"/>
    <x v="1"/>
    <x v="2"/>
  </r>
  <r>
    <s v="EMP0230"/>
    <s v="Nirvi Chana"/>
    <n v="38"/>
    <x v="4"/>
    <x v="1"/>
    <x v="3"/>
    <d v="2025-07-28T00:00:00"/>
    <m/>
    <x v="6"/>
    <n v="85161"/>
    <n v="88"/>
    <n v="2"/>
    <n v="14"/>
    <x v="1"/>
    <s v="No"/>
    <x v="0"/>
    <x v="0"/>
  </r>
  <r>
    <s v="EMP0231"/>
    <s v="Kartik Kala"/>
    <n v="26"/>
    <x v="4"/>
    <x v="3"/>
    <x v="2"/>
    <d v="2024-11-01T00:00:00"/>
    <d v="2025-04-04T00:00:00"/>
    <x v="11"/>
    <n v="87390"/>
    <n v="71"/>
    <n v="1"/>
    <n v="10"/>
    <x v="2"/>
    <s v="Yes"/>
    <x v="1"/>
    <x v="0"/>
  </r>
  <r>
    <s v="EMP0232"/>
    <s v="Shanaya Gill"/>
    <n v="42"/>
    <x v="2"/>
    <x v="1"/>
    <x v="1"/>
    <d v="2023-10-21T00:00:00"/>
    <m/>
    <x v="14"/>
    <n v="55115"/>
    <n v="76"/>
    <n v="5"/>
    <n v="30"/>
    <x v="1"/>
    <s v="No"/>
    <x v="0"/>
    <x v="2"/>
  </r>
  <r>
    <s v="EMP0233"/>
    <s v="Eva Badami"/>
    <n v="55"/>
    <x v="2"/>
    <x v="1"/>
    <x v="0"/>
    <d v="2021-04-06T00:00:00"/>
    <d v="2023-01-30T00:00:00"/>
    <x v="16"/>
    <n v="27052"/>
    <n v="100"/>
    <n v="2"/>
    <n v="37"/>
    <x v="2"/>
    <s v="Yes"/>
    <x v="2"/>
    <x v="1"/>
  </r>
  <r>
    <s v="EMP0234"/>
    <s v="Nitya Hayer"/>
    <n v="25"/>
    <x v="1"/>
    <x v="0"/>
    <x v="1"/>
    <d v="2025-03-21T00:00:00"/>
    <m/>
    <x v="5"/>
    <n v="99277"/>
    <n v="96"/>
    <n v="4"/>
    <n v="34"/>
    <x v="1"/>
    <s v="No"/>
    <x v="3"/>
    <x v="0"/>
  </r>
  <r>
    <s v="EMP0235"/>
    <s v="Divit Joshi"/>
    <n v="53"/>
    <x v="3"/>
    <x v="2"/>
    <x v="4"/>
    <d v="2023-02-26T00:00:00"/>
    <d v="2023-11-03T00:00:00"/>
    <x v="0"/>
    <n v="82290"/>
    <n v="77"/>
    <n v="1"/>
    <n v="21"/>
    <x v="0"/>
    <s v="Yes"/>
    <x v="2"/>
    <x v="0"/>
  </r>
  <r>
    <s v="EMP0236"/>
    <s v="Vaibhav Seth"/>
    <n v="41"/>
    <x v="5"/>
    <x v="2"/>
    <x v="2"/>
    <d v="2025-04-24T00:00:00"/>
    <m/>
    <x v="10"/>
    <n v="54902"/>
    <n v="81"/>
    <n v="5"/>
    <n v="24"/>
    <x v="1"/>
    <s v="No"/>
    <x v="0"/>
    <x v="2"/>
  </r>
  <r>
    <s v="EMP0237"/>
    <s v="Ivana Badal"/>
    <n v="26"/>
    <x v="2"/>
    <x v="2"/>
    <x v="0"/>
    <d v="2022-01-16T00:00:00"/>
    <m/>
    <x v="15"/>
    <n v="35752"/>
    <n v="78"/>
    <n v="2"/>
    <n v="24"/>
    <x v="0"/>
    <s v="No"/>
    <x v="1"/>
    <x v="1"/>
  </r>
  <r>
    <s v="EMP0238"/>
    <s v="Vihaan Rege"/>
    <n v="41"/>
    <x v="1"/>
    <x v="1"/>
    <x v="4"/>
    <d v="2025-05-25T00:00:00"/>
    <d v="2026-04-30T00:00:00"/>
    <x v="17"/>
    <n v="65405"/>
    <n v="84"/>
    <n v="3"/>
    <n v="17"/>
    <x v="2"/>
    <s v="Yes"/>
    <x v="0"/>
    <x v="2"/>
  </r>
  <r>
    <s v="EMP0239"/>
    <s v="Yasmin Khosla"/>
    <n v="48"/>
    <x v="4"/>
    <x v="4"/>
    <x v="1"/>
    <d v="2021-09-29T00:00:00"/>
    <d v="2023-01-15T00:00:00"/>
    <x v="13"/>
    <n v="78483"/>
    <n v="73"/>
    <n v="1"/>
    <n v="5"/>
    <x v="1"/>
    <s v="Yes"/>
    <x v="2"/>
    <x v="2"/>
  </r>
  <r>
    <s v="EMP0240"/>
    <s v="Bhavin Choudhry"/>
    <n v="45"/>
    <x v="5"/>
    <x v="2"/>
    <x v="2"/>
    <d v="2024-02-10T00:00:00"/>
    <d v="2026-03-05T00:00:00"/>
    <x v="6"/>
    <n v="36101"/>
    <n v="93"/>
    <n v="5"/>
    <n v="15"/>
    <x v="0"/>
    <s v="Yes"/>
    <x v="0"/>
    <x v="1"/>
  </r>
  <r>
    <s v="EMP0241"/>
    <s v="Rati Edwin"/>
    <n v="31"/>
    <x v="0"/>
    <x v="2"/>
    <x v="3"/>
    <d v="2023-12-04T00:00:00"/>
    <d v="2026-04-21T00:00:00"/>
    <x v="3"/>
    <n v="89634"/>
    <n v="74"/>
    <n v="1"/>
    <n v="10"/>
    <x v="1"/>
    <s v="Yes"/>
    <x v="1"/>
    <x v="0"/>
  </r>
  <r>
    <s v="EMP0242"/>
    <s v="Purab Sundaram"/>
    <n v="40"/>
    <x v="4"/>
    <x v="1"/>
    <x v="3"/>
    <d v="2022-07-20T00:00:00"/>
    <m/>
    <x v="3"/>
    <n v="57321"/>
    <n v="93"/>
    <n v="4"/>
    <n v="38"/>
    <x v="0"/>
    <s v="No"/>
    <x v="0"/>
    <x v="2"/>
  </r>
  <r>
    <s v="EMP0243"/>
    <s v="Zain Venkatesh"/>
    <n v="27"/>
    <x v="0"/>
    <x v="2"/>
    <x v="4"/>
    <d v="2022-02-05T00:00:00"/>
    <m/>
    <x v="6"/>
    <n v="68544"/>
    <n v="96"/>
    <n v="5"/>
    <n v="24"/>
    <x v="1"/>
    <s v="No"/>
    <x v="1"/>
    <x v="2"/>
  </r>
  <r>
    <s v="EMP0244"/>
    <s v="Elakshi Chaudhary"/>
    <n v="48"/>
    <x v="3"/>
    <x v="4"/>
    <x v="0"/>
    <d v="2023-06-21T00:00:00"/>
    <m/>
    <x v="9"/>
    <n v="67030"/>
    <n v="89"/>
    <n v="2"/>
    <n v="30"/>
    <x v="1"/>
    <s v="No"/>
    <x v="2"/>
    <x v="2"/>
  </r>
  <r>
    <s v="EMP0245"/>
    <s v="Samaira Yadav"/>
    <n v="41"/>
    <x v="1"/>
    <x v="3"/>
    <x v="1"/>
    <d v="2021-12-30T00:00:00"/>
    <m/>
    <x v="5"/>
    <n v="67714"/>
    <n v="82"/>
    <n v="3"/>
    <n v="25"/>
    <x v="1"/>
    <s v="No"/>
    <x v="0"/>
    <x v="2"/>
  </r>
  <r>
    <s v="EMP0246"/>
    <s v="Suhana Dada"/>
    <n v="56"/>
    <x v="5"/>
    <x v="3"/>
    <x v="0"/>
    <d v="2021-08-22T00:00:00"/>
    <d v="2022-11-23T00:00:00"/>
    <x v="8"/>
    <n v="63185"/>
    <n v="96"/>
    <n v="1"/>
    <n v="26"/>
    <x v="0"/>
    <s v="Yes"/>
    <x v="2"/>
    <x v="2"/>
  </r>
  <r>
    <s v="EMP0247"/>
    <s v="Aniruddh Sood"/>
    <n v="36"/>
    <x v="1"/>
    <x v="0"/>
    <x v="2"/>
    <d v="2023-10-20T00:00:00"/>
    <d v="2025-09-29T00:00:00"/>
    <x v="6"/>
    <n v="34694"/>
    <n v="84"/>
    <n v="5"/>
    <n v="30"/>
    <x v="0"/>
    <s v="Yes"/>
    <x v="0"/>
    <x v="1"/>
  </r>
  <r>
    <s v="EMP0248"/>
    <s v="Saira Dhingra"/>
    <n v="55"/>
    <x v="5"/>
    <x v="2"/>
    <x v="1"/>
    <d v="2023-04-01T00:00:00"/>
    <m/>
    <x v="1"/>
    <n v="108647"/>
    <n v="99"/>
    <n v="1"/>
    <n v="6"/>
    <x v="2"/>
    <s v="No"/>
    <x v="2"/>
    <x v="0"/>
  </r>
  <r>
    <s v="EMP0249"/>
    <s v="Krish Borde"/>
    <n v="31"/>
    <x v="3"/>
    <x v="4"/>
    <x v="4"/>
    <d v="2024-09-08T00:00:00"/>
    <m/>
    <x v="12"/>
    <n v="109545"/>
    <n v="91"/>
    <n v="4"/>
    <n v="21"/>
    <x v="1"/>
    <s v="No"/>
    <x v="1"/>
    <x v="0"/>
  </r>
  <r>
    <s v="EMP0250"/>
    <s v="Pranay Sridhar"/>
    <n v="37"/>
    <x v="0"/>
    <x v="4"/>
    <x v="1"/>
    <d v="2021-08-05T00:00:00"/>
    <d v="2022-05-23T00:00:00"/>
    <x v="11"/>
    <n v="101089"/>
    <n v="92"/>
    <n v="5"/>
    <n v="14"/>
    <x v="1"/>
    <s v="Yes"/>
    <x v="0"/>
    <x v="0"/>
  </r>
  <r>
    <s v="EMP0251"/>
    <s v="Uthkarsh Mani"/>
    <n v="50"/>
    <x v="3"/>
    <x v="4"/>
    <x v="1"/>
    <d v="2023-02-06T00:00:00"/>
    <m/>
    <x v="7"/>
    <n v="70215"/>
    <n v="70"/>
    <n v="4"/>
    <n v="6"/>
    <x v="1"/>
    <s v="No"/>
    <x v="2"/>
    <x v="2"/>
  </r>
  <r>
    <s v="EMP0252"/>
    <s v="Samar Dugar"/>
    <n v="30"/>
    <x v="1"/>
    <x v="2"/>
    <x v="3"/>
    <d v="2023-05-02T00:00:00"/>
    <d v="2024-03-24T00:00:00"/>
    <x v="8"/>
    <n v="52114"/>
    <n v="86"/>
    <n v="4"/>
    <n v="22"/>
    <x v="1"/>
    <s v="Yes"/>
    <x v="1"/>
    <x v="2"/>
  </r>
  <r>
    <s v="EMP0253"/>
    <s v="Nitara Bandi"/>
    <n v="49"/>
    <x v="1"/>
    <x v="1"/>
    <x v="3"/>
    <d v="2021-07-19T00:00:00"/>
    <m/>
    <x v="14"/>
    <n v="118163"/>
    <n v="73"/>
    <n v="1"/>
    <n v="21"/>
    <x v="0"/>
    <s v="No"/>
    <x v="2"/>
    <x v="0"/>
  </r>
  <r>
    <s v="EMP0254"/>
    <s v="Bhamini Amble"/>
    <n v="54"/>
    <x v="0"/>
    <x v="4"/>
    <x v="0"/>
    <d v="2021-08-12T00:00:00"/>
    <d v="2023-03-24T00:00:00"/>
    <x v="16"/>
    <n v="98380"/>
    <n v="83"/>
    <n v="4"/>
    <n v="14"/>
    <x v="1"/>
    <s v="Yes"/>
    <x v="2"/>
    <x v="0"/>
  </r>
  <r>
    <s v="EMP0255"/>
    <s v="Rhea Varughese"/>
    <n v="48"/>
    <x v="4"/>
    <x v="1"/>
    <x v="1"/>
    <d v="2024-07-13T00:00:00"/>
    <d v="2025-10-27T00:00:00"/>
    <x v="18"/>
    <n v="83926"/>
    <n v="88"/>
    <n v="4"/>
    <n v="24"/>
    <x v="2"/>
    <s v="Yes"/>
    <x v="2"/>
    <x v="0"/>
  </r>
  <r>
    <s v="EMP0256"/>
    <s v="Mannat Krishnamurthy"/>
    <n v="38"/>
    <x v="3"/>
    <x v="1"/>
    <x v="1"/>
    <d v="2024-12-14T00:00:00"/>
    <d v="2026-04-30T00:00:00"/>
    <x v="0"/>
    <n v="95371"/>
    <n v="75"/>
    <n v="3"/>
    <n v="20"/>
    <x v="2"/>
    <s v="Yes"/>
    <x v="0"/>
    <x v="0"/>
  </r>
  <r>
    <s v="EMP0257"/>
    <s v="Prerak Gupta"/>
    <n v="52"/>
    <x v="2"/>
    <x v="2"/>
    <x v="1"/>
    <d v="2023-07-27T00:00:00"/>
    <d v="2025-04-14T00:00:00"/>
    <x v="6"/>
    <n v="105125"/>
    <n v="82"/>
    <n v="5"/>
    <n v="7"/>
    <x v="1"/>
    <s v="Yes"/>
    <x v="2"/>
    <x v="0"/>
  </r>
  <r>
    <s v="EMP0258"/>
    <s v="Shayak Sarin"/>
    <n v="32"/>
    <x v="3"/>
    <x v="2"/>
    <x v="1"/>
    <d v="2022-12-22T00:00:00"/>
    <m/>
    <x v="12"/>
    <n v="36108"/>
    <n v="91"/>
    <n v="2"/>
    <n v="20"/>
    <x v="2"/>
    <s v="No"/>
    <x v="1"/>
    <x v="1"/>
  </r>
  <r>
    <s v="EMP0259"/>
    <s v="Eva Chacko"/>
    <n v="28"/>
    <x v="0"/>
    <x v="2"/>
    <x v="0"/>
    <d v="2022-05-04T00:00:00"/>
    <m/>
    <x v="13"/>
    <n v="75916"/>
    <n v="83"/>
    <n v="5"/>
    <n v="8"/>
    <x v="0"/>
    <s v="No"/>
    <x v="1"/>
    <x v="2"/>
  </r>
  <r>
    <s v="EMP0260"/>
    <s v="Anvi Sunder"/>
    <n v="32"/>
    <x v="4"/>
    <x v="4"/>
    <x v="0"/>
    <d v="2023-02-25T00:00:00"/>
    <m/>
    <x v="11"/>
    <n v="46871"/>
    <n v="85"/>
    <n v="3"/>
    <n v="8"/>
    <x v="2"/>
    <s v="No"/>
    <x v="1"/>
    <x v="2"/>
  </r>
  <r>
    <s v="EMP0261"/>
    <s v="Rohan Wagle"/>
    <n v="24"/>
    <x v="1"/>
    <x v="1"/>
    <x v="2"/>
    <d v="2022-10-07T00:00:00"/>
    <m/>
    <x v="7"/>
    <n v="50575"/>
    <n v="96"/>
    <n v="4"/>
    <n v="35"/>
    <x v="0"/>
    <s v="No"/>
    <x v="3"/>
    <x v="2"/>
  </r>
  <r>
    <s v="EMP0262"/>
    <s v="Miraan Dewan"/>
    <n v="47"/>
    <x v="3"/>
    <x v="3"/>
    <x v="2"/>
    <d v="2024-08-30T00:00:00"/>
    <m/>
    <x v="8"/>
    <n v="89054"/>
    <n v="75"/>
    <n v="1"/>
    <n v="36"/>
    <x v="2"/>
    <s v="No"/>
    <x v="2"/>
    <x v="0"/>
  </r>
  <r>
    <s v="EMP0263"/>
    <s v="Nitya Ramakrishnan"/>
    <n v="23"/>
    <x v="1"/>
    <x v="0"/>
    <x v="1"/>
    <d v="2025-06-18T00:00:00"/>
    <d v="2026-04-30T00:00:00"/>
    <x v="9"/>
    <n v="47047"/>
    <n v="94"/>
    <n v="4"/>
    <n v="36"/>
    <x v="0"/>
    <s v="Yes"/>
    <x v="3"/>
    <x v="2"/>
  </r>
  <r>
    <s v="EMP0264"/>
    <s v="Lakshit Apte"/>
    <n v="56"/>
    <x v="2"/>
    <x v="1"/>
    <x v="1"/>
    <d v="2025-05-02T00:00:00"/>
    <m/>
    <x v="0"/>
    <n v="60112"/>
    <n v="94"/>
    <n v="5"/>
    <n v="23"/>
    <x v="0"/>
    <s v="No"/>
    <x v="2"/>
    <x v="2"/>
  </r>
  <r>
    <s v="EMP0265"/>
    <s v="Saanvi Vaidya"/>
    <n v="55"/>
    <x v="0"/>
    <x v="3"/>
    <x v="4"/>
    <d v="2025-08-12T00:00:00"/>
    <d v="2026-04-30T00:00:00"/>
    <x v="5"/>
    <n v="64021"/>
    <n v="97"/>
    <n v="1"/>
    <n v="28"/>
    <x v="1"/>
    <s v="Yes"/>
    <x v="2"/>
    <x v="2"/>
  </r>
  <r>
    <s v="EMP0266"/>
    <s v="Lakshit Borde"/>
    <n v="28"/>
    <x v="0"/>
    <x v="0"/>
    <x v="1"/>
    <d v="2022-12-15T00:00:00"/>
    <d v="2025-08-30T00:00:00"/>
    <x v="4"/>
    <n v="118159"/>
    <n v="89"/>
    <n v="4"/>
    <n v="10"/>
    <x v="0"/>
    <s v="Yes"/>
    <x v="1"/>
    <x v="0"/>
  </r>
  <r>
    <s v="EMP0267"/>
    <s v="Tushar Bhagat"/>
    <n v="24"/>
    <x v="2"/>
    <x v="2"/>
    <x v="1"/>
    <d v="2021-10-13T00:00:00"/>
    <d v="2023-03-10T00:00:00"/>
    <x v="3"/>
    <n v="103231"/>
    <n v="87"/>
    <n v="2"/>
    <n v="20"/>
    <x v="0"/>
    <s v="Yes"/>
    <x v="3"/>
    <x v="0"/>
  </r>
  <r>
    <s v="EMP0268"/>
    <s v="Rasha Lad"/>
    <n v="57"/>
    <x v="1"/>
    <x v="4"/>
    <x v="4"/>
    <d v="2022-08-23T00:00:00"/>
    <m/>
    <x v="7"/>
    <n v="78948"/>
    <n v="99"/>
    <n v="1"/>
    <n v="17"/>
    <x v="0"/>
    <s v="No"/>
    <x v="2"/>
    <x v="2"/>
  </r>
  <r>
    <s v="EMP0269"/>
    <s v="Oorja Date"/>
    <n v="30"/>
    <x v="3"/>
    <x v="2"/>
    <x v="0"/>
    <d v="2021-09-17T00:00:00"/>
    <d v="2023-05-11T00:00:00"/>
    <x v="6"/>
    <n v="89154"/>
    <n v="74"/>
    <n v="5"/>
    <n v="40"/>
    <x v="1"/>
    <s v="Yes"/>
    <x v="1"/>
    <x v="0"/>
  </r>
  <r>
    <s v="EMP0270"/>
    <s v="Shalv Bhalla"/>
    <n v="45"/>
    <x v="4"/>
    <x v="1"/>
    <x v="4"/>
    <d v="2024-07-09T00:00:00"/>
    <m/>
    <x v="6"/>
    <n v="92582"/>
    <n v="93"/>
    <n v="3"/>
    <n v="23"/>
    <x v="1"/>
    <s v="No"/>
    <x v="0"/>
    <x v="0"/>
  </r>
  <r>
    <s v="EMP0271"/>
    <s v="Kismat Hayer"/>
    <n v="58"/>
    <x v="5"/>
    <x v="1"/>
    <x v="2"/>
    <d v="2023-09-27T00:00:00"/>
    <m/>
    <x v="4"/>
    <n v="33300"/>
    <n v="95"/>
    <n v="5"/>
    <n v="25"/>
    <x v="2"/>
    <s v="No"/>
    <x v="2"/>
    <x v="1"/>
  </r>
  <r>
    <s v="EMP0272"/>
    <s v="Indrajit Cheema"/>
    <n v="38"/>
    <x v="1"/>
    <x v="2"/>
    <x v="3"/>
    <d v="2023-05-30T00:00:00"/>
    <d v="2026-04-30T00:00:00"/>
    <x v="11"/>
    <n v="100750"/>
    <n v="74"/>
    <n v="5"/>
    <n v="31"/>
    <x v="1"/>
    <s v="Yes"/>
    <x v="0"/>
    <x v="0"/>
  </r>
  <r>
    <s v="EMP0273"/>
    <s v="Ranbir Gola"/>
    <n v="27"/>
    <x v="3"/>
    <x v="3"/>
    <x v="4"/>
    <d v="2026-01-06T00:00:00"/>
    <d v="2026-04-30T00:00:00"/>
    <x v="0"/>
    <n v="45707"/>
    <n v="84"/>
    <n v="4"/>
    <n v="0"/>
    <x v="1"/>
    <s v="Yes"/>
    <x v="1"/>
    <x v="2"/>
  </r>
  <r>
    <s v="EMP0274"/>
    <s v="Advik Edwin"/>
    <n v="31"/>
    <x v="1"/>
    <x v="1"/>
    <x v="3"/>
    <d v="2022-02-19T00:00:00"/>
    <d v="2024-01-28T00:00:00"/>
    <x v="3"/>
    <n v="35803"/>
    <n v="81"/>
    <n v="2"/>
    <n v="3"/>
    <x v="1"/>
    <s v="Yes"/>
    <x v="1"/>
    <x v="1"/>
  </r>
  <r>
    <s v="EMP0275"/>
    <s v="Aayush Ramachandran"/>
    <n v="35"/>
    <x v="4"/>
    <x v="1"/>
    <x v="4"/>
    <d v="2024-07-05T00:00:00"/>
    <m/>
    <x v="17"/>
    <n v="52973"/>
    <n v="85"/>
    <n v="1"/>
    <n v="8"/>
    <x v="0"/>
    <s v="No"/>
    <x v="1"/>
    <x v="2"/>
  </r>
  <r>
    <s v="EMP0276"/>
    <s v="Vedika Soman"/>
    <n v="21"/>
    <x v="5"/>
    <x v="2"/>
    <x v="4"/>
    <d v="2022-04-09T00:00:00"/>
    <m/>
    <x v="2"/>
    <n v="115968"/>
    <n v="74"/>
    <n v="4"/>
    <n v="4"/>
    <x v="2"/>
    <s v="No"/>
    <x v="3"/>
    <x v="0"/>
  </r>
  <r>
    <s v="EMP0277"/>
    <s v="Renee Raja"/>
    <n v="27"/>
    <x v="1"/>
    <x v="2"/>
    <x v="3"/>
    <d v="2023-02-24T00:00:00"/>
    <d v="2023-12-20T00:00:00"/>
    <x v="7"/>
    <n v="75164"/>
    <n v="94"/>
    <n v="2"/>
    <n v="9"/>
    <x v="2"/>
    <s v="Yes"/>
    <x v="1"/>
    <x v="2"/>
  </r>
  <r>
    <s v="EMP0278"/>
    <s v="Ishaan Chaudhari"/>
    <n v="49"/>
    <x v="1"/>
    <x v="0"/>
    <x v="0"/>
    <d v="2023-12-23T00:00:00"/>
    <d v="2025-02-21T00:00:00"/>
    <x v="2"/>
    <n v="105750"/>
    <n v="91"/>
    <n v="4"/>
    <n v="13"/>
    <x v="2"/>
    <s v="Yes"/>
    <x v="2"/>
    <x v="0"/>
  </r>
  <r>
    <s v="EMP0279"/>
    <s v="Lakshit Varghese"/>
    <n v="28"/>
    <x v="2"/>
    <x v="3"/>
    <x v="3"/>
    <d v="2026-01-11T00:00:00"/>
    <d v="2026-04-30T00:00:00"/>
    <x v="2"/>
    <n v="66222"/>
    <n v="95"/>
    <n v="2"/>
    <n v="15"/>
    <x v="1"/>
    <s v="Yes"/>
    <x v="1"/>
    <x v="2"/>
  </r>
  <r>
    <s v="EMP0280"/>
    <s v="Aarav Buch"/>
    <n v="56"/>
    <x v="2"/>
    <x v="4"/>
    <x v="1"/>
    <d v="2024-08-13T00:00:00"/>
    <d v="2026-04-03T00:00:00"/>
    <x v="9"/>
    <n v="115502"/>
    <n v="70"/>
    <n v="3"/>
    <n v="13"/>
    <x v="0"/>
    <s v="Yes"/>
    <x v="2"/>
    <x v="0"/>
  </r>
  <r>
    <s v="EMP0281"/>
    <s v="Sara Chahal"/>
    <n v="39"/>
    <x v="3"/>
    <x v="1"/>
    <x v="0"/>
    <d v="2024-05-27T00:00:00"/>
    <d v="2026-04-30T00:00:00"/>
    <x v="10"/>
    <n v="75578"/>
    <n v="73"/>
    <n v="2"/>
    <n v="31"/>
    <x v="0"/>
    <s v="Yes"/>
    <x v="0"/>
    <x v="2"/>
  </r>
  <r>
    <s v="EMP0282"/>
    <s v="Krish Krishna"/>
    <n v="21"/>
    <x v="1"/>
    <x v="2"/>
    <x v="0"/>
    <d v="2024-05-01T00:00:00"/>
    <d v="2026-04-30T00:00:00"/>
    <x v="6"/>
    <n v="99498"/>
    <n v="83"/>
    <n v="3"/>
    <n v="34"/>
    <x v="0"/>
    <s v="Yes"/>
    <x v="3"/>
    <x v="0"/>
  </r>
  <r>
    <s v="EMP0283"/>
    <s v="Aradhya Loyal"/>
    <n v="25"/>
    <x v="5"/>
    <x v="4"/>
    <x v="4"/>
    <d v="2021-12-20T00:00:00"/>
    <m/>
    <x v="17"/>
    <n v="59365"/>
    <n v="76"/>
    <n v="1"/>
    <n v="3"/>
    <x v="1"/>
    <s v="No"/>
    <x v="3"/>
    <x v="2"/>
  </r>
  <r>
    <s v="EMP0284"/>
    <s v="Misha Bhat"/>
    <n v="53"/>
    <x v="4"/>
    <x v="3"/>
    <x v="2"/>
    <d v="2023-11-04T00:00:00"/>
    <m/>
    <x v="15"/>
    <n v="108956"/>
    <n v="87"/>
    <n v="5"/>
    <n v="39"/>
    <x v="2"/>
    <s v="No"/>
    <x v="2"/>
    <x v="0"/>
  </r>
  <r>
    <s v="EMP0285"/>
    <s v="Reyansh Kulkarni"/>
    <n v="26"/>
    <x v="2"/>
    <x v="0"/>
    <x v="0"/>
    <d v="2022-07-23T00:00:00"/>
    <d v="2024-07-16T00:00:00"/>
    <x v="11"/>
    <n v="67827"/>
    <n v="82"/>
    <n v="5"/>
    <n v="40"/>
    <x v="0"/>
    <s v="Yes"/>
    <x v="1"/>
    <x v="2"/>
  </r>
  <r>
    <s v="EMP0286"/>
    <s v="Gatik Deep"/>
    <n v="48"/>
    <x v="3"/>
    <x v="0"/>
    <x v="4"/>
    <d v="2024-10-26T00:00:00"/>
    <d v="2026-04-30T00:00:00"/>
    <x v="5"/>
    <n v="36300"/>
    <n v="99"/>
    <n v="4"/>
    <n v="7"/>
    <x v="1"/>
    <s v="Yes"/>
    <x v="2"/>
    <x v="1"/>
  </r>
  <r>
    <s v="EMP0287"/>
    <s v="Tarini Dora"/>
    <n v="32"/>
    <x v="5"/>
    <x v="1"/>
    <x v="0"/>
    <d v="2024-06-07T00:00:00"/>
    <d v="2026-04-30T00:00:00"/>
    <x v="17"/>
    <n v="46473"/>
    <n v="85"/>
    <n v="3"/>
    <n v="33"/>
    <x v="0"/>
    <s v="Yes"/>
    <x v="1"/>
    <x v="2"/>
  </r>
  <r>
    <s v="EMP0288"/>
    <s v="Vaibhav Gara"/>
    <n v="31"/>
    <x v="1"/>
    <x v="0"/>
    <x v="3"/>
    <d v="2025-05-23T00:00:00"/>
    <m/>
    <x v="0"/>
    <n v="28847"/>
    <n v="80"/>
    <n v="4"/>
    <n v="17"/>
    <x v="0"/>
    <s v="No"/>
    <x v="1"/>
    <x v="1"/>
  </r>
  <r>
    <s v="EMP0289"/>
    <s v="Charvi Bhagat"/>
    <n v="57"/>
    <x v="3"/>
    <x v="1"/>
    <x v="2"/>
    <d v="2021-05-11T00:00:00"/>
    <m/>
    <x v="8"/>
    <n v="91949"/>
    <n v="81"/>
    <n v="1"/>
    <n v="31"/>
    <x v="0"/>
    <s v="No"/>
    <x v="2"/>
    <x v="0"/>
  </r>
  <r>
    <s v="EMP0290"/>
    <s v="Vedika Bains"/>
    <n v="31"/>
    <x v="1"/>
    <x v="1"/>
    <x v="1"/>
    <d v="2021-12-08T00:00:00"/>
    <m/>
    <x v="0"/>
    <n v="54937"/>
    <n v="93"/>
    <n v="5"/>
    <n v="0"/>
    <x v="2"/>
    <s v="No"/>
    <x v="1"/>
    <x v="2"/>
  </r>
  <r>
    <s v="EMP0291"/>
    <s v="Hazel Sawhney"/>
    <n v="23"/>
    <x v="4"/>
    <x v="2"/>
    <x v="2"/>
    <d v="2025-10-25T00:00:00"/>
    <d v="2026-04-30T00:00:00"/>
    <x v="7"/>
    <n v="48456"/>
    <n v="99"/>
    <n v="1"/>
    <n v="35"/>
    <x v="0"/>
    <s v="Yes"/>
    <x v="3"/>
    <x v="2"/>
  </r>
  <r>
    <s v="EMP0292"/>
    <s v="Kanav Rajan"/>
    <n v="35"/>
    <x v="1"/>
    <x v="0"/>
    <x v="2"/>
    <d v="2025-02-25T00:00:00"/>
    <m/>
    <x v="16"/>
    <n v="60554"/>
    <n v="96"/>
    <n v="1"/>
    <n v="36"/>
    <x v="1"/>
    <s v="No"/>
    <x v="1"/>
    <x v="2"/>
  </r>
  <r>
    <s v="EMP0293"/>
    <s v="Hiran Dua"/>
    <n v="35"/>
    <x v="2"/>
    <x v="1"/>
    <x v="2"/>
    <d v="2021-09-02T00:00:00"/>
    <d v="2022-12-03T00:00:00"/>
    <x v="15"/>
    <n v="85960"/>
    <n v="97"/>
    <n v="3"/>
    <n v="19"/>
    <x v="1"/>
    <s v="Yes"/>
    <x v="1"/>
    <x v="0"/>
  </r>
  <r>
    <s v="EMP0294"/>
    <s v="Mehul Kakar"/>
    <n v="21"/>
    <x v="1"/>
    <x v="0"/>
    <x v="3"/>
    <d v="2021-06-26T00:00:00"/>
    <m/>
    <x v="12"/>
    <n v="64834"/>
    <n v="93"/>
    <n v="5"/>
    <n v="15"/>
    <x v="1"/>
    <s v="No"/>
    <x v="3"/>
    <x v="2"/>
  </r>
  <r>
    <s v="EMP0295"/>
    <s v="Kashvi Loyal"/>
    <n v="33"/>
    <x v="3"/>
    <x v="4"/>
    <x v="0"/>
    <d v="2023-01-25T00:00:00"/>
    <m/>
    <x v="7"/>
    <n v="25835"/>
    <n v="99"/>
    <n v="4"/>
    <n v="1"/>
    <x v="2"/>
    <s v="No"/>
    <x v="1"/>
    <x v="1"/>
  </r>
  <r>
    <s v="EMP0296"/>
    <s v="Samiha Chopra"/>
    <n v="21"/>
    <x v="1"/>
    <x v="1"/>
    <x v="2"/>
    <d v="2024-01-15T00:00:00"/>
    <m/>
    <x v="9"/>
    <n v="38624"/>
    <n v="76"/>
    <n v="5"/>
    <n v="15"/>
    <x v="1"/>
    <s v="No"/>
    <x v="3"/>
    <x v="1"/>
  </r>
  <r>
    <s v="EMP0297"/>
    <s v="Jivin Gupta"/>
    <n v="38"/>
    <x v="5"/>
    <x v="1"/>
    <x v="0"/>
    <d v="2023-10-05T00:00:00"/>
    <d v="2024-10-20T00:00:00"/>
    <x v="13"/>
    <n v="79140"/>
    <n v="92"/>
    <n v="3"/>
    <n v="29"/>
    <x v="0"/>
    <s v="Yes"/>
    <x v="0"/>
    <x v="2"/>
  </r>
  <r>
    <s v="EMP0298"/>
    <s v="Samiha Thakkar"/>
    <n v="29"/>
    <x v="3"/>
    <x v="3"/>
    <x v="4"/>
    <d v="2021-06-23T00:00:00"/>
    <d v="2024-07-22T00:00:00"/>
    <x v="12"/>
    <n v="99425"/>
    <n v="71"/>
    <n v="4"/>
    <n v="8"/>
    <x v="2"/>
    <s v="Yes"/>
    <x v="1"/>
    <x v="0"/>
  </r>
  <r>
    <s v="EMP0299"/>
    <s v="Hazel Kar"/>
    <n v="41"/>
    <x v="4"/>
    <x v="2"/>
    <x v="3"/>
    <d v="2022-08-21T00:00:00"/>
    <m/>
    <x v="8"/>
    <n v="60645"/>
    <n v="77"/>
    <n v="1"/>
    <n v="12"/>
    <x v="2"/>
    <s v="No"/>
    <x v="0"/>
    <x v="2"/>
  </r>
  <r>
    <s v="EMP0300"/>
    <s v="Darshit Devi"/>
    <n v="27"/>
    <x v="0"/>
    <x v="3"/>
    <x v="2"/>
    <d v="2025-05-17T00:00:00"/>
    <d v="2026-04-30T00:00:00"/>
    <x v="16"/>
    <n v="78282"/>
    <n v="73"/>
    <n v="5"/>
    <n v="22"/>
    <x v="2"/>
    <s v="Yes"/>
    <x v="1"/>
    <x v="2"/>
  </r>
  <r>
    <s v="EMP0301"/>
    <s v="Prerak Dalal"/>
    <n v="50"/>
    <x v="1"/>
    <x v="1"/>
    <x v="4"/>
    <d v="2023-07-15T00:00:00"/>
    <m/>
    <x v="19"/>
    <n v="114922"/>
    <n v="79"/>
    <n v="5"/>
    <n v="2"/>
    <x v="2"/>
    <s v="No"/>
    <x v="2"/>
    <x v="0"/>
  </r>
  <r>
    <s v="EMP0302"/>
    <s v="Hansh Sen"/>
    <n v="30"/>
    <x v="5"/>
    <x v="0"/>
    <x v="3"/>
    <d v="2025-09-08T00:00:00"/>
    <m/>
    <x v="6"/>
    <n v="92300"/>
    <n v="71"/>
    <n v="3"/>
    <n v="16"/>
    <x v="2"/>
    <s v="No"/>
    <x v="1"/>
    <x v="0"/>
  </r>
  <r>
    <s v="EMP0303"/>
    <s v="Tara Borah"/>
    <n v="49"/>
    <x v="2"/>
    <x v="4"/>
    <x v="0"/>
    <d v="2021-03-05T00:00:00"/>
    <m/>
    <x v="0"/>
    <n v="85560"/>
    <n v="73"/>
    <n v="2"/>
    <n v="7"/>
    <x v="2"/>
    <s v="No"/>
    <x v="2"/>
    <x v="0"/>
  </r>
  <r>
    <s v="EMP0304"/>
    <s v="Nayantara Kant"/>
    <n v="33"/>
    <x v="4"/>
    <x v="2"/>
    <x v="4"/>
    <d v="2021-05-07T00:00:00"/>
    <d v="2022-04-29T00:00:00"/>
    <x v="12"/>
    <n v="101823"/>
    <n v="78"/>
    <n v="1"/>
    <n v="1"/>
    <x v="2"/>
    <s v="Yes"/>
    <x v="1"/>
    <x v="0"/>
  </r>
  <r>
    <s v="EMP0305"/>
    <s v="Shaan Lata"/>
    <n v="29"/>
    <x v="5"/>
    <x v="2"/>
    <x v="4"/>
    <d v="2022-02-09T00:00:00"/>
    <m/>
    <x v="14"/>
    <n v="85423"/>
    <n v="71"/>
    <n v="2"/>
    <n v="36"/>
    <x v="1"/>
    <s v="No"/>
    <x v="1"/>
    <x v="0"/>
  </r>
  <r>
    <s v="EMP0306"/>
    <s v="Kaira Yohannan"/>
    <n v="52"/>
    <x v="5"/>
    <x v="3"/>
    <x v="2"/>
    <d v="2025-08-10T00:00:00"/>
    <m/>
    <x v="19"/>
    <n v="71392"/>
    <n v="76"/>
    <n v="2"/>
    <n v="17"/>
    <x v="1"/>
    <s v="No"/>
    <x v="2"/>
    <x v="2"/>
  </r>
  <r>
    <s v="EMP0307"/>
    <s v="Nirvi Chaudhuri"/>
    <n v="36"/>
    <x v="3"/>
    <x v="2"/>
    <x v="2"/>
    <d v="2023-07-03T00:00:00"/>
    <d v="2023-12-10T00:00:00"/>
    <x v="2"/>
    <n v="97179"/>
    <n v="85"/>
    <n v="1"/>
    <n v="5"/>
    <x v="1"/>
    <s v="Yes"/>
    <x v="0"/>
    <x v="0"/>
  </r>
  <r>
    <s v="EMP0308"/>
    <s v="Emir Johal"/>
    <n v="33"/>
    <x v="3"/>
    <x v="4"/>
    <x v="0"/>
    <d v="2023-02-24T00:00:00"/>
    <d v="2025-09-29T00:00:00"/>
    <x v="11"/>
    <n v="27559"/>
    <n v="82"/>
    <n v="3"/>
    <n v="30"/>
    <x v="0"/>
    <s v="Yes"/>
    <x v="1"/>
    <x v="1"/>
  </r>
  <r>
    <s v="EMP0309"/>
    <s v="Anika Korpal"/>
    <n v="43"/>
    <x v="2"/>
    <x v="4"/>
    <x v="3"/>
    <d v="2025-05-20T00:00:00"/>
    <m/>
    <x v="6"/>
    <n v="60446"/>
    <n v="75"/>
    <n v="1"/>
    <n v="20"/>
    <x v="0"/>
    <s v="No"/>
    <x v="0"/>
    <x v="2"/>
  </r>
  <r>
    <s v="EMP0310"/>
    <s v="Abram Soman"/>
    <n v="24"/>
    <x v="4"/>
    <x v="4"/>
    <x v="3"/>
    <d v="2022-03-25T00:00:00"/>
    <d v="2024-01-19T00:00:00"/>
    <x v="12"/>
    <n v="55508"/>
    <n v="75"/>
    <n v="1"/>
    <n v="15"/>
    <x v="0"/>
    <s v="Yes"/>
    <x v="3"/>
    <x v="2"/>
  </r>
  <r>
    <s v="EMP0311"/>
    <s v="Jayant Bora"/>
    <n v="55"/>
    <x v="3"/>
    <x v="1"/>
    <x v="0"/>
    <d v="2022-05-09T00:00:00"/>
    <m/>
    <x v="12"/>
    <n v="75911"/>
    <n v="81"/>
    <n v="2"/>
    <n v="11"/>
    <x v="2"/>
    <s v="No"/>
    <x v="2"/>
    <x v="2"/>
  </r>
  <r>
    <s v="EMP0312"/>
    <s v="Darshit Chahal"/>
    <n v="43"/>
    <x v="2"/>
    <x v="1"/>
    <x v="3"/>
    <d v="2024-04-28T00:00:00"/>
    <m/>
    <x v="12"/>
    <n v="98873"/>
    <n v="74"/>
    <n v="5"/>
    <n v="12"/>
    <x v="1"/>
    <s v="No"/>
    <x v="0"/>
    <x v="0"/>
  </r>
  <r>
    <s v="EMP0313"/>
    <s v="Nehmat Dani"/>
    <n v="32"/>
    <x v="4"/>
    <x v="1"/>
    <x v="4"/>
    <d v="2024-01-16T00:00:00"/>
    <m/>
    <x v="14"/>
    <n v="55490"/>
    <n v="89"/>
    <n v="2"/>
    <n v="1"/>
    <x v="0"/>
    <s v="No"/>
    <x v="1"/>
    <x v="2"/>
  </r>
  <r>
    <s v="EMP0314"/>
    <s v="Riaan Sastry"/>
    <n v="33"/>
    <x v="0"/>
    <x v="2"/>
    <x v="0"/>
    <d v="2023-09-06T00:00:00"/>
    <d v="2025-10-14T00:00:00"/>
    <x v="16"/>
    <n v="32806"/>
    <n v="70"/>
    <n v="2"/>
    <n v="37"/>
    <x v="0"/>
    <s v="Yes"/>
    <x v="1"/>
    <x v="1"/>
  </r>
  <r>
    <s v="EMP0315"/>
    <s v="Advika Bajaj"/>
    <n v="54"/>
    <x v="1"/>
    <x v="1"/>
    <x v="3"/>
    <d v="2026-02-22T00:00:00"/>
    <d v="2026-04-30T00:00:00"/>
    <x v="6"/>
    <n v="101810"/>
    <n v="73"/>
    <n v="3"/>
    <n v="19"/>
    <x v="1"/>
    <s v="Yes"/>
    <x v="2"/>
    <x v="0"/>
  </r>
  <r>
    <s v="EMP0316"/>
    <s v="Nirvaan Verma"/>
    <n v="52"/>
    <x v="3"/>
    <x v="2"/>
    <x v="0"/>
    <d v="2021-10-07T00:00:00"/>
    <d v="2024-06-17T00:00:00"/>
    <x v="11"/>
    <n v="115906"/>
    <n v="98"/>
    <n v="5"/>
    <n v="22"/>
    <x v="2"/>
    <s v="Yes"/>
    <x v="2"/>
    <x v="0"/>
  </r>
  <r>
    <s v="EMP0317"/>
    <s v="Samiha Mander"/>
    <n v="40"/>
    <x v="3"/>
    <x v="2"/>
    <x v="0"/>
    <d v="2024-09-25T00:00:00"/>
    <d v="2026-04-30T00:00:00"/>
    <x v="19"/>
    <n v="25235"/>
    <n v="100"/>
    <n v="5"/>
    <n v="25"/>
    <x v="0"/>
    <s v="Yes"/>
    <x v="0"/>
    <x v="1"/>
  </r>
  <r>
    <s v="EMP0318"/>
    <s v="Pihu Sankar"/>
    <n v="35"/>
    <x v="3"/>
    <x v="4"/>
    <x v="4"/>
    <d v="2021-03-08T00:00:00"/>
    <d v="2023-03-19T00:00:00"/>
    <x v="10"/>
    <n v="43434"/>
    <n v="80"/>
    <n v="1"/>
    <n v="15"/>
    <x v="1"/>
    <s v="Yes"/>
    <x v="1"/>
    <x v="2"/>
  </r>
  <r>
    <s v="EMP0319"/>
    <s v="Nirvaan Aggarwal"/>
    <n v="42"/>
    <x v="4"/>
    <x v="1"/>
    <x v="3"/>
    <d v="2022-10-17T00:00:00"/>
    <d v="2023-07-15T00:00:00"/>
    <x v="18"/>
    <n v="57707"/>
    <n v="92"/>
    <n v="1"/>
    <n v="22"/>
    <x v="1"/>
    <s v="Yes"/>
    <x v="0"/>
    <x v="2"/>
  </r>
  <r>
    <s v="EMP0320"/>
    <s v="Tarini Issac"/>
    <n v="24"/>
    <x v="4"/>
    <x v="3"/>
    <x v="2"/>
    <d v="2025-05-31T00:00:00"/>
    <d v="2025-08-31T00:00:00"/>
    <x v="19"/>
    <n v="79266"/>
    <n v="85"/>
    <n v="4"/>
    <n v="22"/>
    <x v="0"/>
    <s v="Yes"/>
    <x v="3"/>
    <x v="2"/>
  </r>
  <r>
    <s v="EMP0321"/>
    <s v="Aarush Sekhon"/>
    <n v="57"/>
    <x v="3"/>
    <x v="0"/>
    <x v="0"/>
    <d v="2023-02-08T00:00:00"/>
    <d v="2026-01-14T00:00:00"/>
    <x v="8"/>
    <n v="34661"/>
    <n v="95"/>
    <n v="1"/>
    <n v="18"/>
    <x v="2"/>
    <s v="Yes"/>
    <x v="2"/>
    <x v="1"/>
  </r>
  <r>
    <s v="EMP0322"/>
    <s v="Jivika Dutta"/>
    <n v="27"/>
    <x v="5"/>
    <x v="2"/>
    <x v="0"/>
    <d v="2022-10-15T00:00:00"/>
    <m/>
    <x v="6"/>
    <n v="46090"/>
    <n v="93"/>
    <n v="1"/>
    <n v="35"/>
    <x v="2"/>
    <s v="No"/>
    <x v="1"/>
    <x v="2"/>
  </r>
  <r>
    <s v="EMP0323"/>
    <s v="Samar Kapadia"/>
    <n v="22"/>
    <x v="4"/>
    <x v="0"/>
    <x v="1"/>
    <d v="2022-11-24T00:00:00"/>
    <m/>
    <x v="2"/>
    <n v="45591"/>
    <n v="71"/>
    <n v="1"/>
    <n v="21"/>
    <x v="2"/>
    <s v="No"/>
    <x v="3"/>
    <x v="2"/>
  </r>
  <r>
    <s v="EMP0324"/>
    <s v="Kanav Rao"/>
    <n v="56"/>
    <x v="3"/>
    <x v="4"/>
    <x v="3"/>
    <d v="2022-01-25T00:00:00"/>
    <m/>
    <x v="9"/>
    <n v="63980"/>
    <n v="77"/>
    <n v="1"/>
    <n v="3"/>
    <x v="1"/>
    <s v="No"/>
    <x v="2"/>
    <x v="2"/>
  </r>
  <r>
    <s v="EMP0325"/>
    <s v="Ayesha Chakrabarti"/>
    <n v="30"/>
    <x v="5"/>
    <x v="2"/>
    <x v="4"/>
    <d v="2024-03-16T00:00:00"/>
    <m/>
    <x v="2"/>
    <n v="36485"/>
    <n v="79"/>
    <n v="5"/>
    <n v="30"/>
    <x v="2"/>
    <s v="No"/>
    <x v="1"/>
    <x v="1"/>
  </r>
  <r>
    <s v="EMP0326"/>
    <s v="Jhanvi Lanka"/>
    <n v="31"/>
    <x v="3"/>
    <x v="2"/>
    <x v="4"/>
    <d v="2021-07-18T00:00:00"/>
    <d v="2022-12-13T00:00:00"/>
    <x v="10"/>
    <n v="40139"/>
    <n v="79"/>
    <n v="4"/>
    <n v="30"/>
    <x v="1"/>
    <s v="Yes"/>
    <x v="1"/>
    <x v="2"/>
  </r>
  <r>
    <s v="EMP0327"/>
    <s v="Yuvaan Hayre"/>
    <n v="26"/>
    <x v="3"/>
    <x v="4"/>
    <x v="2"/>
    <d v="2026-01-07T00:00:00"/>
    <m/>
    <x v="19"/>
    <n v="73630"/>
    <n v="98"/>
    <n v="4"/>
    <n v="23"/>
    <x v="2"/>
    <s v="No"/>
    <x v="1"/>
    <x v="2"/>
  </r>
  <r>
    <s v="EMP0328"/>
    <s v="Saira Kade"/>
    <n v="49"/>
    <x v="4"/>
    <x v="2"/>
    <x v="0"/>
    <d v="2023-07-02T00:00:00"/>
    <d v="2025-03-22T00:00:00"/>
    <x v="3"/>
    <n v="98956"/>
    <n v="71"/>
    <n v="2"/>
    <n v="6"/>
    <x v="2"/>
    <s v="Yes"/>
    <x v="2"/>
    <x v="0"/>
  </r>
  <r>
    <s v="EMP0329"/>
    <s v="Shaan Hora"/>
    <n v="55"/>
    <x v="4"/>
    <x v="4"/>
    <x v="0"/>
    <d v="2024-09-30T00:00:00"/>
    <m/>
    <x v="11"/>
    <n v="32993"/>
    <n v="96"/>
    <n v="4"/>
    <n v="33"/>
    <x v="1"/>
    <s v="No"/>
    <x v="2"/>
    <x v="1"/>
  </r>
  <r>
    <s v="EMP0330"/>
    <s v="Ehsaan Anne"/>
    <n v="57"/>
    <x v="0"/>
    <x v="3"/>
    <x v="3"/>
    <d v="2024-01-02T00:00:00"/>
    <m/>
    <x v="15"/>
    <n v="76747"/>
    <n v="98"/>
    <n v="1"/>
    <n v="32"/>
    <x v="0"/>
    <s v="No"/>
    <x v="2"/>
    <x v="2"/>
  </r>
  <r>
    <s v="EMP0331"/>
    <s v="Diya Salvi"/>
    <n v="49"/>
    <x v="0"/>
    <x v="0"/>
    <x v="0"/>
    <d v="2026-01-19T00:00:00"/>
    <d v="2026-04-30T00:00:00"/>
    <x v="18"/>
    <n v="41539"/>
    <n v="71"/>
    <n v="4"/>
    <n v="5"/>
    <x v="0"/>
    <s v="Yes"/>
    <x v="2"/>
    <x v="2"/>
  </r>
  <r>
    <s v="EMP0332"/>
    <s v="Adah Hayer"/>
    <n v="37"/>
    <x v="1"/>
    <x v="1"/>
    <x v="4"/>
    <d v="2023-06-11T00:00:00"/>
    <d v="2024-07-07T00:00:00"/>
    <x v="6"/>
    <n v="97923"/>
    <n v="82"/>
    <n v="5"/>
    <n v="20"/>
    <x v="1"/>
    <s v="Yes"/>
    <x v="0"/>
    <x v="0"/>
  </r>
  <r>
    <s v="EMP0333"/>
    <s v="Vardaniya Sampath"/>
    <n v="21"/>
    <x v="3"/>
    <x v="4"/>
    <x v="1"/>
    <d v="2023-12-01T00:00:00"/>
    <m/>
    <x v="13"/>
    <n v="79997"/>
    <n v="73"/>
    <n v="4"/>
    <n v="9"/>
    <x v="2"/>
    <s v="No"/>
    <x v="3"/>
    <x v="2"/>
  </r>
  <r>
    <s v="EMP0334"/>
    <s v="Jayesh Dara"/>
    <n v="57"/>
    <x v="5"/>
    <x v="2"/>
    <x v="1"/>
    <d v="2024-03-06T00:00:00"/>
    <d v="2025-01-06T00:00:00"/>
    <x v="4"/>
    <n v="78856"/>
    <n v="78"/>
    <n v="4"/>
    <n v="31"/>
    <x v="0"/>
    <s v="Yes"/>
    <x v="2"/>
    <x v="2"/>
  </r>
  <r>
    <s v="EMP0335"/>
    <s v="Himmat Sankaran"/>
    <n v="23"/>
    <x v="0"/>
    <x v="2"/>
    <x v="2"/>
    <d v="2024-06-01T00:00:00"/>
    <m/>
    <x v="7"/>
    <n v="106034"/>
    <n v="89"/>
    <n v="4"/>
    <n v="2"/>
    <x v="1"/>
    <s v="No"/>
    <x v="3"/>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2" cacheId="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A24" firstHeaderRow="1" firstDataRow="1" firstDataCol="1"/>
  <pivotFields count="17">
    <pivotField showAll="0"/>
    <pivotField showAll="0"/>
    <pivotField showAll="0"/>
    <pivotField showAll="0"/>
    <pivotField showAll="0"/>
    <pivotField showAll="0"/>
    <pivotField numFmtId="22" showAll="0"/>
    <pivotField showAll="0"/>
    <pivotField axis="axisRow" showAll="0">
      <items count="21">
        <item x="17"/>
        <item x="14"/>
        <item x="15"/>
        <item x="0"/>
        <item x="7"/>
        <item x="19"/>
        <item x="18"/>
        <item x="5"/>
        <item x="3"/>
        <item x="9"/>
        <item x="16"/>
        <item x="4"/>
        <item x="6"/>
        <item x="2"/>
        <item x="8"/>
        <item x="10"/>
        <item x="13"/>
        <item x="11"/>
        <item x="12"/>
        <item x="1"/>
        <item t="default"/>
      </items>
    </pivotField>
    <pivotField showAll="0"/>
    <pivotField showAll="0"/>
    <pivotField showAll="0"/>
    <pivotField showAll="0"/>
    <pivotField showAll="0"/>
    <pivotField showAll="0"/>
    <pivotField showAll="0"/>
    <pivotField showAll="0"/>
  </pivotFields>
  <rowFields count="1">
    <field x="8"/>
  </rowFields>
  <rowItems count="21">
    <i>
      <x/>
    </i>
    <i>
      <x v="1"/>
    </i>
    <i>
      <x v="2"/>
    </i>
    <i>
      <x v="3"/>
    </i>
    <i>
      <x v="4"/>
    </i>
    <i>
      <x v="5"/>
    </i>
    <i>
      <x v="6"/>
    </i>
    <i>
      <x v="7"/>
    </i>
    <i>
      <x v="8"/>
    </i>
    <i>
      <x v="9"/>
    </i>
    <i>
      <x v="10"/>
    </i>
    <i>
      <x v="11"/>
    </i>
    <i>
      <x v="12"/>
    </i>
    <i>
      <x v="13"/>
    </i>
    <i>
      <x v="14"/>
    </i>
    <i>
      <x v="15"/>
    </i>
    <i>
      <x v="16"/>
    </i>
    <i>
      <x v="17"/>
    </i>
    <i>
      <x v="18"/>
    </i>
    <i>
      <x v="19"/>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1" cacheId="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J12:K19" firstHeaderRow="1" firstDataRow="1" firstDataCol="1"/>
  <pivotFields count="17">
    <pivotField showAll="0"/>
    <pivotField showAll="0"/>
    <pivotField showAll="0"/>
    <pivotField axis="axisRow" showAll="0">
      <items count="7">
        <item x="0"/>
        <item x="5"/>
        <item x="4"/>
        <item x="3"/>
        <item x="2"/>
        <item x="1"/>
        <item t="default"/>
      </items>
    </pivotField>
    <pivotField showAll="0"/>
    <pivotField showAll="0"/>
    <pivotField numFmtId="22" showAll="0"/>
    <pivotField showAll="0"/>
    <pivotField showAll="0"/>
    <pivotField showAll="0"/>
    <pivotField dataField="1" showAll="0"/>
    <pivotField showAll="0"/>
    <pivotField showAll="0"/>
    <pivotField showAll="0"/>
    <pivotField showAll="0"/>
    <pivotField showAll="0"/>
    <pivotField showAll="0"/>
  </pivotFields>
  <rowFields count="1">
    <field x="3"/>
  </rowFields>
  <rowItems count="7">
    <i>
      <x/>
    </i>
    <i>
      <x v="1"/>
    </i>
    <i>
      <x v="2"/>
    </i>
    <i>
      <x v="3"/>
    </i>
    <i>
      <x v="4"/>
    </i>
    <i>
      <x v="5"/>
    </i>
    <i t="grand">
      <x/>
    </i>
  </rowItems>
  <colItems count="1">
    <i/>
  </colItems>
  <dataFields count="1">
    <dataField name="Average of attendance_percent" fld="10" subtotal="average" baseField="3" baseItem="0"/>
  </dataFields>
  <chartFormats count="4">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11" cacheId="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13:B20" firstHeaderRow="1" firstDataRow="1" firstDataCol="1"/>
  <pivotFields count="17">
    <pivotField showAll="0"/>
    <pivotField showAll="0"/>
    <pivotField showAll="0"/>
    <pivotField axis="axisRow" showAll="0">
      <items count="7">
        <item x="0"/>
        <item x="5"/>
        <item x="4"/>
        <item x="3"/>
        <item x="2"/>
        <item x="1"/>
        <item t="default"/>
      </items>
    </pivotField>
    <pivotField showAll="0"/>
    <pivotField showAll="0"/>
    <pivotField numFmtId="22" showAll="0"/>
    <pivotField showAll="0"/>
    <pivotField showAll="0"/>
    <pivotField showAll="0"/>
    <pivotField showAll="0"/>
    <pivotField showAll="0"/>
    <pivotField showAll="0"/>
    <pivotField showAll="0"/>
    <pivotField dataField="1" showAll="0"/>
    <pivotField showAll="0"/>
    <pivotField showAll="0"/>
  </pivotFields>
  <rowFields count="1">
    <field x="3"/>
  </rowFields>
  <rowItems count="7">
    <i>
      <x/>
    </i>
    <i>
      <x v="1"/>
    </i>
    <i>
      <x v="2"/>
    </i>
    <i>
      <x v="3"/>
    </i>
    <i>
      <x v="4"/>
    </i>
    <i>
      <x v="5"/>
    </i>
    <i t="grand">
      <x/>
    </i>
  </rowItems>
  <colItems count="1">
    <i/>
  </colItems>
  <dataFields count="1">
    <dataField name="Count of attrition" fld="1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12" cacheId="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D13:E17" firstHeaderRow="1" firstDataRow="1" firstDataCol="1"/>
  <pivotFields count="17">
    <pivotField dataField="1" showAll="0"/>
    <pivotField showAll="0"/>
    <pivotField showAll="0"/>
    <pivotField showAll="0">
      <items count="7">
        <item x="0"/>
        <item x="5"/>
        <item x="4"/>
        <item x="3"/>
        <item x="2"/>
        <item x="1"/>
        <item t="default"/>
      </items>
    </pivotField>
    <pivotField showAll="0"/>
    <pivotField showAll="0"/>
    <pivotField numFmtId="22" showAll="0"/>
    <pivotField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s>
  <rowFields count="1">
    <field x="16"/>
  </rowFields>
  <rowItems count="4">
    <i>
      <x/>
    </i>
    <i>
      <x v="1"/>
    </i>
    <i>
      <x v="2"/>
    </i>
    <i t="grand">
      <x/>
    </i>
  </rowItems>
  <colItems count="1">
    <i/>
  </colItems>
  <dataFields count="1">
    <dataField name="Count of employee_id" fld="0" subtotal="count" baseField="0" baseItem="0"/>
  </dataFields>
  <chartFormats count="1">
    <chartFormat chart="3" format="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10" cacheId="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8">
  <location ref="J3:K8" firstHeaderRow="1" firstDataRow="1" firstDataCol="1"/>
  <pivotFields count="17">
    <pivotField dataField="1" showAll="0"/>
    <pivotField showAll="0"/>
    <pivotField showAll="0"/>
    <pivotField showAll="0">
      <items count="7">
        <item x="0"/>
        <item x="5"/>
        <item x="4"/>
        <item x="3"/>
        <item x="2"/>
        <item x="1"/>
        <item t="default"/>
      </items>
    </pivotField>
    <pivotField showAll="0"/>
    <pivotField showAll="0"/>
    <pivotField numFmtId="22" showAll="0"/>
    <pivotField showAll="0"/>
    <pivotField showAll="0"/>
    <pivotField showAll="0"/>
    <pivotField showAll="0"/>
    <pivotField showAll="0"/>
    <pivotField showAll="0"/>
    <pivotField showAll="0"/>
    <pivotField showAll="0"/>
    <pivotField axis="axisRow" showAll="0">
      <items count="5">
        <item x="3"/>
        <item x="1"/>
        <item x="0"/>
        <item x="2"/>
        <item t="default"/>
      </items>
    </pivotField>
    <pivotField showAll="0"/>
  </pivotFields>
  <rowFields count="1">
    <field x="15"/>
  </rowFields>
  <rowItems count="5">
    <i>
      <x/>
    </i>
    <i>
      <x v="1"/>
    </i>
    <i>
      <x v="2"/>
    </i>
    <i>
      <x v="3"/>
    </i>
    <i t="grand">
      <x/>
    </i>
  </rowItems>
  <colItems count="1">
    <i/>
  </colItems>
  <dataFields count="1">
    <dataField name="Count of employee_id" fld="0" subtotal="count" baseField="0" baseItem="0"/>
  </dataFields>
  <chartFormats count="1">
    <chartFormat chart="20"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7" cacheId="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3:B10" firstHeaderRow="1" firstDataRow="1" firstDataCol="1"/>
  <pivotFields count="17">
    <pivotField dataField="1" showAll="0"/>
    <pivotField showAll="0"/>
    <pivotField showAll="0"/>
    <pivotField axis="axisRow" showAll="0">
      <items count="7">
        <item x="0"/>
        <item x="5"/>
        <item x="4"/>
        <item x="3"/>
        <item x="2"/>
        <item x="1"/>
        <item t="default"/>
      </items>
    </pivotField>
    <pivotField showAll="0"/>
    <pivotField showAll="0"/>
    <pivotField numFmtId="22" showAll="0"/>
    <pivotField showAll="0"/>
    <pivotField showAll="0"/>
    <pivotField showAll="0"/>
    <pivotField showAll="0"/>
    <pivotField showAll="0"/>
    <pivotField showAll="0"/>
    <pivotField showAll="0"/>
    <pivotField showAll="0"/>
    <pivotField showAll="0"/>
    <pivotField showAll="0"/>
  </pivotFields>
  <rowFields count="1">
    <field x="3"/>
  </rowFields>
  <rowItems count="7">
    <i>
      <x/>
    </i>
    <i>
      <x v="1"/>
    </i>
    <i>
      <x v="2"/>
    </i>
    <i>
      <x v="3"/>
    </i>
    <i>
      <x v="4"/>
    </i>
    <i>
      <x v="5"/>
    </i>
    <i t="grand">
      <x/>
    </i>
  </rowItems>
  <colItems count="1">
    <i/>
  </colItems>
  <dataFields count="1">
    <dataField name="Count of employee_id" fld="0" subtotal="count" baseField="0" baseItem="0"/>
  </dataFields>
  <chartFormats count="2">
    <chartFormat chart="0" format="2"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9" cacheId="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G3:H10" firstHeaderRow="1" firstDataRow="1" firstDataCol="1"/>
  <pivotFields count="17">
    <pivotField showAll="0"/>
    <pivotField showAll="0"/>
    <pivotField showAll="0"/>
    <pivotField axis="axisRow" showAll="0">
      <items count="7">
        <item x="0"/>
        <item x="5"/>
        <item x="4"/>
        <item x="3"/>
        <item x="2"/>
        <item x="1"/>
        <item t="default"/>
      </items>
    </pivotField>
    <pivotField showAll="0"/>
    <pivotField showAll="0"/>
    <pivotField numFmtId="22" showAll="0"/>
    <pivotField showAll="0"/>
    <pivotField showAll="0"/>
    <pivotField showAll="0"/>
    <pivotField dataField="1" showAll="0"/>
    <pivotField showAll="0"/>
    <pivotField showAll="0"/>
    <pivotField showAll="0"/>
    <pivotField showAll="0"/>
    <pivotField showAll="0"/>
    <pivotField showAll="0"/>
  </pivotFields>
  <rowFields count="1">
    <field x="3"/>
  </rowFields>
  <rowItems count="7">
    <i>
      <x/>
    </i>
    <i>
      <x v="1"/>
    </i>
    <i>
      <x v="2"/>
    </i>
    <i>
      <x v="3"/>
    </i>
    <i>
      <x v="4"/>
    </i>
    <i>
      <x v="5"/>
    </i>
    <i t="grand">
      <x/>
    </i>
  </rowItems>
  <colItems count="1">
    <i/>
  </colItems>
  <dataFields count="1">
    <dataField name="Average of attendance_percent" fld="10" subtotal="average" baseField="3" baseItem="0"/>
  </dataFields>
  <chartFormats count="4">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13" cacheId="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G13:H34" firstHeaderRow="1" firstDataRow="1" firstDataCol="1"/>
  <pivotFields count="17">
    <pivotField showAll="0"/>
    <pivotField showAll="0"/>
    <pivotField showAll="0"/>
    <pivotField showAll="0">
      <items count="7">
        <item x="0"/>
        <item x="5"/>
        <item x="4"/>
        <item x="3"/>
        <item x="2"/>
        <item x="1"/>
        <item t="default"/>
      </items>
    </pivotField>
    <pivotField showAll="0"/>
    <pivotField showAll="0"/>
    <pivotField numFmtId="22" showAll="0"/>
    <pivotField showAll="0"/>
    <pivotField axis="axisRow" showAll="0">
      <items count="21">
        <item x="17"/>
        <item x="14"/>
        <item x="15"/>
        <item x="0"/>
        <item x="7"/>
        <item x="19"/>
        <item x="18"/>
        <item x="5"/>
        <item x="3"/>
        <item x="9"/>
        <item x="16"/>
        <item x="4"/>
        <item x="6"/>
        <item x="2"/>
        <item x="8"/>
        <item x="10"/>
        <item x="13"/>
        <item x="11"/>
        <item x="12"/>
        <item x="1"/>
        <item t="default"/>
      </items>
    </pivotField>
    <pivotField dataField="1" showAll="0"/>
    <pivotField showAll="0"/>
    <pivotField showAll="0"/>
    <pivotField showAll="0"/>
    <pivotField showAll="0"/>
    <pivotField showAll="0"/>
    <pivotField showAll="0"/>
    <pivotField showAll="0"/>
  </pivotFields>
  <rowFields count="1">
    <field x="8"/>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Average of salary" fld="9" subtotal="average" baseField="8" baseItem="0"/>
  </dataFields>
  <chartFormats count="1">
    <chartFormat chart="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8" cacheId="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D3:E10" firstHeaderRow="1" firstDataRow="1" firstDataCol="1"/>
  <pivotFields count="17">
    <pivotField showAll="0"/>
    <pivotField showAll="0"/>
    <pivotField showAll="0"/>
    <pivotField axis="axisRow" showAll="0">
      <items count="7">
        <item x="0"/>
        <item x="5"/>
        <item x="4"/>
        <item x="3"/>
        <item x="2"/>
        <item x="1"/>
        <item t="default"/>
      </items>
    </pivotField>
    <pivotField showAll="0">
      <items count="6">
        <item x="1"/>
        <item x="3"/>
        <item x="4"/>
        <item x="0"/>
        <item x="2"/>
        <item t="default"/>
      </items>
    </pivotField>
    <pivotField showAll="0">
      <items count="6">
        <item x="4"/>
        <item x="3"/>
        <item x="2"/>
        <item x="0"/>
        <item x="1"/>
        <item t="default"/>
      </items>
    </pivotField>
    <pivotField numFmtId="22" showAll="0"/>
    <pivotField showAll="0"/>
    <pivotField showAll="0"/>
    <pivotField dataField="1" showAll="0"/>
    <pivotField showAll="0"/>
    <pivotField showAll="0"/>
    <pivotField showAll="0"/>
    <pivotField showAll="0">
      <items count="4">
        <item x="1"/>
        <item x="0"/>
        <item x="2"/>
        <item t="default"/>
      </items>
    </pivotField>
    <pivotField showAll="0"/>
    <pivotField showAll="0"/>
    <pivotField showAll="0"/>
  </pivotFields>
  <rowFields count="1">
    <field x="3"/>
  </rowFields>
  <rowItems count="7">
    <i>
      <x/>
    </i>
    <i>
      <x v="1"/>
    </i>
    <i>
      <x v="2"/>
    </i>
    <i>
      <x v="3"/>
    </i>
    <i>
      <x v="4"/>
    </i>
    <i>
      <x v="5"/>
    </i>
    <i t="grand">
      <x/>
    </i>
  </rowItems>
  <colItems count="1">
    <i/>
  </colItems>
  <dataFields count="1">
    <dataField name="Average of salary" fld="9" subtotal="average" baseField="3" baseItem="0"/>
  </dataFields>
  <chartFormats count="1">
    <chartFormat chart="3"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queryTables/queryTable1.xml><?xml version="1.0" encoding="utf-8"?>
<queryTable xmlns="http://schemas.openxmlformats.org/spreadsheetml/2006/main" name="ExternalData_1" connectionId="1" autoFormatId="0" applyNumberFormats="0" applyBorderFormats="0" applyFontFormats="1" applyPatternFormats="1" applyAlignmentFormats="0" applyWidthHeightFormats="0">
  <queryTableRefresh preserveSortFilterLayout="0" nextId="18">
    <queryTableFields count="17">
      <queryTableField id="1" name="employee_id" tableColumnId="35"/>
      <queryTableField id="2" name="employee_name" tableColumnId="36"/>
      <queryTableField id="3" name="age" tableColumnId="37"/>
      <queryTableField id="4" name="department" tableColumnId="38"/>
      <queryTableField id="5" name="job_role" tableColumnId="39"/>
      <queryTableField id="6" name="city" tableColumnId="40"/>
      <queryTableField id="7" name="joining_date" tableColumnId="41"/>
      <queryTableField id="8" name="leaving_date" tableColumnId="42"/>
      <queryTableField id="9" name="experience_years" tableColumnId="43"/>
      <queryTableField id="10" name="salary" tableColumnId="44"/>
      <queryTableField id="11" name="attendance_percent" tableColumnId="45"/>
      <queryTableField id="12" name="performance_rating" tableColumnId="46"/>
      <queryTableField id="13" name="overtime_hours" tableColumnId="47"/>
      <queryTableField id="14" name="work_mode" tableColumnId="48"/>
      <queryTableField id="15" name="attrition" tableColumnId="49"/>
      <queryTableField id="16" name="Age Group" tableColumnId="50"/>
      <queryTableField id="17" name="Salary Band" tableColumnId="5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job_role" sourceName="job_role">
  <pivotTables>
    <pivotTable tabId="8" name="PivotTable8"/>
  </pivotTables>
  <data>
    <tabular pivotCacheId="1">
      <items count="5">
        <i x="1" s="1"/>
        <i x="3" s="1"/>
        <i x="4"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city" sourceName="city">
  <pivotTables>
    <pivotTable tabId="8" name="PivotTable8"/>
  </pivotTables>
  <data>
    <tabular pivotCacheId="1">
      <items count="5">
        <i x="4" s="1"/>
        <i x="3" s="1"/>
        <i x="2"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work_mode" sourceName="work_mode">
  <pivotTables>
    <pivotTable tabId="8" name="PivotTable8"/>
  </pivotTables>
  <data>
    <tabular pivotCacheId="1">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job_role" cache="Slicer_job_role" caption="job_role" rowHeight="234950"/>
  <slicer name="city" cache="Slicer_city" caption="city" rowHeight="234950"/>
  <slicer name="work_mode" cache="Slicer_work_mode" caption="work_mode"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id="2" name="Table1_2" displayName="Table1_2" ref="A1:Q336" tableType="queryTable" insertRowShift="1" totalsRowShown="0">
  <autoFilter ref="A1:Q336"/>
  <tableColumns count="17">
    <tableColumn id="35" uniqueName="35" name="employee_id" queryTableFieldId="1"/>
    <tableColumn id="36" uniqueName="36" name="employee_name" queryTableFieldId="2"/>
    <tableColumn id="37" uniqueName="37" name="age" queryTableFieldId="3"/>
    <tableColumn id="38" uniqueName="38" name="department" queryTableFieldId="4"/>
    <tableColumn id="39" uniqueName="39" name="job_role" queryTableFieldId="5"/>
    <tableColumn id="40" uniqueName="40" name="city" queryTableFieldId="6"/>
    <tableColumn id="41" uniqueName="41" name="joining_date" queryTableFieldId="7" dataDxfId="3"/>
    <tableColumn id="42" uniqueName="42" name="leaving_date" queryTableFieldId="8" dataDxfId="2"/>
    <tableColumn id="43" uniqueName="43" name="experience_years" queryTableFieldId="9"/>
    <tableColumn id="44" uniqueName="44" name="salary" queryTableFieldId="10"/>
    <tableColumn id="45" uniqueName="45" name="attendance_percent" queryTableFieldId="11"/>
    <tableColumn id="46" uniqueName="46" name="performance_rating" queryTableFieldId="12"/>
    <tableColumn id="47" uniqueName="47" name="overtime_hours" queryTableFieldId="13"/>
    <tableColumn id="48" uniqueName="48" name="work_mode" queryTableFieldId="14"/>
    <tableColumn id="49" uniqueName="49" name="attrition" queryTableFieldId="15"/>
    <tableColumn id="50" uniqueName="50" name="Age Group" queryTableFieldId="16"/>
    <tableColumn id="51" uniqueName="51" name="Salary Band" queryTableFieldId="17"/>
  </tableColumns>
  <tableStyleInfo name="TableStyleMedium7" showFirstColumn="0" showLastColumn="0" showRowStripes="1" showColumnStripes="0"/>
</table>
</file>

<file path=xl/tables/table2.xml><?xml version="1.0" encoding="utf-8"?>
<table xmlns="http://schemas.openxmlformats.org/spreadsheetml/2006/main" id="3" name="Table3" displayName="Table3" ref="A1:Q51" totalsRowShown="0">
  <autoFilter ref="A1:Q51"/>
  <tableColumns count="17">
    <tableColumn id="1" name="employee_id"/>
    <tableColumn id="2" name="employee_name"/>
    <tableColumn id="3" name="age"/>
    <tableColumn id="4" name="department"/>
    <tableColumn id="5" name="job_role"/>
    <tableColumn id="6" name="city"/>
    <tableColumn id="7" name="joining_date" dataDxfId="1"/>
    <tableColumn id="8" name="leaving_date" dataDxfId="0"/>
    <tableColumn id="9" name="experience_years"/>
    <tableColumn id="10" name="salary"/>
    <tableColumn id="11" name="attendance_percent"/>
    <tableColumn id="12" name="performance_rating"/>
    <tableColumn id="13" name="overtime_hours"/>
    <tableColumn id="14" name="work_mode"/>
    <tableColumn id="15" name="attrition"/>
    <tableColumn id="16" name="Age Group"/>
    <tableColumn id="17" name="Salary Band"/>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9.xml"/><Relationship Id="rId3" Type="http://schemas.openxmlformats.org/officeDocument/2006/relationships/pivotTable" Target="../pivotTables/pivotTable4.xml"/><Relationship Id="rId7" Type="http://schemas.openxmlformats.org/officeDocument/2006/relationships/pivotTable" Target="../pivotTables/pivotTable8.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4" Type="http://schemas.openxmlformats.org/officeDocument/2006/relationships/pivotTable" Target="../pivotTables/pivotTable5.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A24"/>
  <sheetViews>
    <sheetView workbookViewId="0">
      <selection activeCell="A3" sqref="A3"/>
    </sheetView>
  </sheetViews>
  <sheetFormatPr defaultRowHeight="14.4" x14ac:dyDescent="0.3"/>
  <cols>
    <col min="1" max="1" width="12.5546875" bestFit="1" customWidth="1"/>
  </cols>
  <sheetData>
    <row r="3" spans="1:1" x14ac:dyDescent="0.3">
      <c r="A3" s="1" t="s">
        <v>708</v>
      </c>
    </row>
    <row r="4" spans="1:1" x14ac:dyDescent="0.3">
      <c r="A4" s="2">
        <v>1</v>
      </c>
    </row>
    <row r="5" spans="1:1" x14ac:dyDescent="0.3">
      <c r="A5" s="2">
        <v>2</v>
      </c>
    </row>
    <row r="6" spans="1:1" x14ac:dyDescent="0.3">
      <c r="A6" s="2">
        <v>3</v>
      </c>
    </row>
    <row r="7" spans="1:1" x14ac:dyDescent="0.3">
      <c r="A7" s="2">
        <v>4</v>
      </c>
    </row>
    <row r="8" spans="1:1" x14ac:dyDescent="0.3">
      <c r="A8" s="2">
        <v>5</v>
      </c>
    </row>
    <row r="9" spans="1:1" x14ac:dyDescent="0.3">
      <c r="A9" s="2">
        <v>6</v>
      </c>
    </row>
    <row r="10" spans="1:1" x14ac:dyDescent="0.3">
      <c r="A10" s="2">
        <v>7</v>
      </c>
    </row>
    <row r="11" spans="1:1" x14ac:dyDescent="0.3">
      <c r="A11" s="2">
        <v>8</v>
      </c>
    </row>
    <row r="12" spans="1:1" x14ac:dyDescent="0.3">
      <c r="A12" s="2">
        <v>9</v>
      </c>
    </row>
    <row r="13" spans="1:1" x14ac:dyDescent="0.3">
      <c r="A13" s="2">
        <v>10</v>
      </c>
    </row>
    <row r="14" spans="1:1" x14ac:dyDescent="0.3">
      <c r="A14" s="2">
        <v>11</v>
      </c>
    </row>
    <row r="15" spans="1:1" x14ac:dyDescent="0.3">
      <c r="A15" s="2">
        <v>12</v>
      </c>
    </row>
    <row r="16" spans="1:1" x14ac:dyDescent="0.3">
      <c r="A16" s="2">
        <v>13</v>
      </c>
    </row>
    <row r="17" spans="1:1" x14ac:dyDescent="0.3">
      <c r="A17" s="2">
        <v>14</v>
      </c>
    </row>
    <row r="18" spans="1:1" x14ac:dyDescent="0.3">
      <c r="A18" s="2">
        <v>15</v>
      </c>
    </row>
    <row r="19" spans="1:1" x14ac:dyDescent="0.3">
      <c r="A19" s="2">
        <v>16</v>
      </c>
    </row>
    <row r="20" spans="1:1" x14ac:dyDescent="0.3">
      <c r="A20" s="2">
        <v>17</v>
      </c>
    </row>
    <row r="21" spans="1:1" x14ac:dyDescent="0.3">
      <c r="A21" s="2">
        <v>18</v>
      </c>
    </row>
    <row r="22" spans="1:1" x14ac:dyDescent="0.3">
      <c r="A22" s="2">
        <v>19</v>
      </c>
    </row>
    <row r="23" spans="1:1" x14ac:dyDescent="0.3">
      <c r="A23" s="2">
        <v>20</v>
      </c>
    </row>
    <row r="24" spans="1:1" x14ac:dyDescent="0.3">
      <c r="A24" s="2" t="s">
        <v>709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36"/>
  <sheetViews>
    <sheetView workbookViewId="0">
      <selection activeCell="I13" sqref="I13"/>
    </sheetView>
  </sheetViews>
  <sheetFormatPr defaultRowHeight="14.4" x14ac:dyDescent="0.3"/>
  <cols>
    <col min="1" max="1" width="14.109375" bestFit="1" customWidth="1"/>
    <col min="2" max="2" width="19.6640625" bestFit="1" customWidth="1"/>
    <col min="3" max="3" width="6.21875" bestFit="1" customWidth="1"/>
    <col min="4" max="4" width="13.21875" bestFit="1" customWidth="1"/>
    <col min="5" max="5" width="10.88671875" bestFit="1" customWidth="1"/>
    <col min="6" max="6" width="7.6640625" bestFit="1" customWidth="1"/>
    <col min="7" max="8" width="15.44140625" bestFit="1" customWidth="1"/>
    <col min="9" max="9" width="17.88671875" bestFit="1" customWidth="1"/>
    <col min="10" max="10" width="8.109375" bestFit="1" customWidth="1"/>
    <col min="11" max="11" width="20.44140625" bestFit="1" customWidth="1"/>
    <col min="12" max="12" width="20.21875" bestFit="1" customWidth="1"/>
    <col min="13" max="13" width="16.6640625" bestFit="1" customWidth="1"/>
    <col min="14" max="14" width="13.33203125" bestFit="1" customWidth="1"/>
    <col min="15" max="15" width="10" bestFit="1" customWidth="1"/>
    <col min="16" max="16" width="12.109375" bestFit="1" customWidth="1"/>
    <col min="17" max="17" width="13.109375" bestFit="1" customWidth="1"/>
  </cols>
  <sheetData>
    <row r="1" spans="1:17" x14ac:dyDescent="0.3">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706</v>
      </c>
      <c r="Q1" s="3" t="s">
        <v>707</v>
      </c>
    </row>
    <row r="2" spans="1:17" x14ac:dyDescent="0.3">
      <c r="A2" s="3" t="s">
        <v>15</v>
      </c>
      <c r="B2" s="3" t="s">
        <v>350</v>
      </c>
      <c r="C2" s="3">
        <v>38</v>
      </c>
      <c r="D2" s="3" t="s">
        <v>685</v>
      </c>
      <c r="E2" s="3" t="s">
        <v>691</v>
      </c>
      <c r="F2" s="3" t="s">
        <v>696</v>
      </c>
      <c r="G2" s="4">
        <v>45506</v>
      </c>
      <c r="H2" s="4">
        <v>45647</v>
      </c>
      <c r="I2" s="3">
        <v>4</v>
      </c>
      <c r="J2" s="3">
        <v>113696</v>
      </c>
      <c r="K2" s="3">
        <v>93</v>
      </c>
      <c r="L2" s="3">
        <v>5</v>
      </c>
      <c r="M2" s="3">
        <v>5</v>
      </c>
      <c r="N2" s="3" t="s">
        <v>701</v>
      </c>
      <c r="O2" s="3" t="s">
        <v>704</v>
      </c>
      <c r="P2" s="3" t="s">
        <v>713</v>
      </c>
      <c r="Q2" s="3" t="s">
        <v>714</v>
      </c>
    </row>
    <row r="3" spans="1:17" x14ac:dyDescent="0.3">
      <c r="A3" s="3" t="s">
        <v>16</v>
      </c>
      <c r="B3" s="3" t="s">
        <v>351</v>
      </c>
      <c r="C3" s="3">
        <v>26</v>
      </c>
      <c r="D3" s="3" t="s">
        <v>685</v>
      </c>
      <c r="E3" s="3" t="s">
        <v>691</v>
      </c>
      <c r="F3" s="3" t="s">
        <v>697</v>
      </c>
      <c r="G3" s="4">
        <v>45061</v>
      </c>
      <c r="H3" s="4">
        <v>45212</v>
      </c>
      <c r="I3" s="3">
        <v>20</v>
      </c>
      <c r="J3" s="3">
        <v>28478</v>
      </c>
      <c r="K3" s="3">
        <v>87</v>
      </c>
      <c r="L3" s="3">
        <v>2</v>
      </c>
      <c r="M3" s="3">
        <v>34</v>
      </c>
      <c r="N3" s="3" t="s">
        <v>702</v>
      </c>
      <c r="O3" s="3" t="s">
        <v>704</v>
      </c>
      <c r="P3" s="3" t="s">
        <v>715</v>
      </c>
      <c r="Q3" s="3" t="s">
        <v>716</v>
      </c>
    </row>
    <row r="4" spans="1:17" x14ac:dyDescent="0.3">
      <c r="A4" s="3" t="s">
        <v>17</v>
      </c>
      <c r="B4" s="3" t="s">
        <v>352</v>
      </c>
      <c r="C4" s="3">
        <v>58</v>
      </c>
      <c r="D4" s="3" t="s">
        <v>686</v>
      </c>
      <c r="E4" s="3" t="s">
        <v>692</v>
      </c>
      <c r="F4" s="3" t="s">
        <v>696</v>
      </c>
      <c r="G4" s="4">
        <v>44648</v>
      </c>
      <c r="H4" s="4"/>
      <c r="I4" s="3">
        <v>14</v>
      </c>
      <c r="J4" s="3">
        <v>69597</v>
      </c>
      <c r="K4" s="3">
        <v>78</v>
      </c>
      <c r="L4" s="3">
        <v>2</v>
      </c>
      <c r="M4" s="3">
        <v>13</v>
      </c>
      <c r="N4" s="3" t="s">
        <v>702</v>
      </c>
      <c r="O4" s="3" t="s">
        <v>705</v>
      </c>
      <c r="P4" s="3" t="s">
        <v>717</v>
      </c>
      <c r="Q4" s="3" t="s">
        <v>718</v>
      </c>
    </row>
    <row r="5" spans="1:17" x14ac:dyDescent="0.3">
      <c r="A5" s="3" t="s">
        <v>18</v>
      </c>
      <c r="B5" s="3" t="s">
        <v>353</v>
      </c>
      <c r="C5" s="3">
        <v>27</v>
      </c>
      <c r="D5" s="3" t="s">
        <v>686</v>
      </c>
      <c r="E5" s="3" t="s">
        <v>693</v>
      </c>
      <c r="F5" s="3" t="s">
        <v>697</v>
      </c>
      <c r="G5" s="4">
        <v>44406</v>
      </c>
      <c r="H5" s="4">
        <v>45274</v>
      </c>
      <c r="I5" s="3">
        <v>9</v>
      </c>
      <c r="J5" s="3">
        <v>30695</v>
      </c>
      <c r="K5" s="3">
        <v>93</v>
      </c>
      <c r="L5" s="3">
        <v>4</v>
      </c>
      <c r="M5" s="3">
        <v>34</v>
      </c>
      <c r="N5" s="3" t="s">
        <v>703</v>
      </c>
      <c r="O5" s="3" t="s">
        <v>704</v>
      </c>
      <c r="P5" s="3" t="s">
        <v>715</v>
      </c>
      <c r="Q5" s="3" t="s">
        <v>716</v>
      </c>
    </row>
    <row r="6" spans="1:17" x14ac:dyDescent="0.3">
      <c r="A6" s="3" t="s">
        <v>19</v>
      </c>
      <c r="B6" s="3" t="s">
        <v>354</v>
      </c>
      <c r="C6" s="3">
        <v>26</v>
      </c>
      <c r="D6" s="3" t="s">
        <v>687</v>
      </c>
      <c r="E6" s="3" t="s">
        <v>693</v>
      </c>
      <c r="F6" s="3" t="s">
        <v>697</v>
      </c>
      <c r="G6" s="4">
        <v>46085</v>
      </c>
      <c r="H6" s="4"/>
      <c r="I6" s="3">
        <v>12</v>
      </c>
      <c r="J6" s="3">
        <v>100674</v>
      </c>
      <c r="K6" s="3">
        <v>76</v>
      </c>
      <c r="L6" s="3">
        <v>1</v>
      </c>
      <c r="M6" s="3">
        <v>2</v>
      </c>
      <c r="N6" s="3" t="s">
        <v>701</v>
      </c>
      <c r="O6" s="3" t="s">
        <v>705</v>
      </c>
      <c r="P6" s="3" t="s">
        <v>715</v>
      </c>
      <c r="Q6" s="3" t="s">
        <v>714</v>
      </c>
    </row>
    <row r="7" spans="1:17" x14ac:dyDescent="0.3">
      <c r="A7" s="3" t="s">
        <v>20</v>
      </c>
      <c r="B7" s="3" t="s">
        <v>355</v>
      </c>
      <c r="C7" s="3">
        <v>26</v>
      </c>
      <c r="D7" s="3" t="s">
        <v>685</v>
      </c>
      <c r="E7" s="3" t="s">
        <v>692</v>
      </c>
      <c r="F7" s="3" t="s">
        <v>698</v>
      </c>
      <c r="G7" s="4">
        <v>44663</v>
      </c>
      <c r="H7" s="4"/>
      <c r="I7" s="3">
        <v>9</v>
      </c>
      <c r="J7" s="3">
        <v>84429</v>
      </c>
      <c r="K7" s="3">
        <v>90</v>
      </c>
      <c r="L7" s="3">
        <v>3</v>
      </c>
      <c r="M7" s="3">
        <v>10</v>
      </c>
      <c r="N7" s="3" t="s">
        <v>702</v>
      </c>
      <c r="O7" s="3" t="s">
        <v>705</v>
      </c>
      <c r="P7" s="3" t="s">
        <v>715</v>
      </c>
      <c r="Q7" s="3" t="s">
        <v>714</v>
      </c>
    </row>
    <row r="8" spans="1:17" x14ac:dyDescent="0.3">
      <c r="A8" s="3" t="s">
        <v>21</v>
      </c>
      <c r="B8" s="3" t="s">
        <v>356</v>
      </c>
      <c r="C8" s="3">
        <v>25</v>
      </c>
      <c r="D8" s="3" t="s">
        <v>687</v>
      </c>
      <c r="E8" s="3" t="s">
        <v>691</v>
      </c>
      <c r="F8" s="3" t="s">
        <v>697</v>
      </c>
      <c r="G8" s="4">
        <v>44924</v>
      </c>
      <c r="H8" s="4">
        <v>45560</v>
      </c>
      <c r="I8" s="3">
        <v>8</v>
      </c>
      <c r="J8" s="3">
        <v>46417</v>
      </c>
      <c r="K8" s="3">
        <v>84</v>
      </c>
      <c r="L8" s="3">
        <v>4</v>
      </c>
      <c r="M8" s="3">
        <v>17</v>
      </c>
      <c r="N8" s="3" t="s">
        <v>701</v>
      </c>
      <c r="O8" s="3" t="s">
        <v>704</v>
      </c>
      <c r="P8" s="3" t="s">
        <v>719</v>
      </c>
      <c r="Q8" s="3" t="s">
        <v>718</v>
      </c>
    </row>
    <row r="9" spans="1:17" x14ac:dyDescent="0.3">
      <c r="A9" s="3" t="s">
        <v>22</v>
      </c>
      <c r="B9" s="3" t="s">
        <v>357</v>
      </c>
      <c r="C9" s="3">
        <v>24</v>
      </c>
      <c r="D9" s="3" t="s">
        <v>685</v>
      </c>
      <c r="E9" s="3" t="s">
        <v>692</v>
      </c>
      <c r="F9" s="3" t="s">
        <v>699</v>
      </c>
      <c r="G9" s="4">
        <v>45606</v>
      </c>
      <c r="H9" s="4">
        <v>46142</v>
      </c>
      <c r="I9" s="3">
        <v>13</v>
      </c>
      <c r="J9" s="3">
        <v>60093</v>
      </c>
      <c r="K9" s="3">
        <v>72</v>
      </c>
      <c r="L9" s="3">
        <v>2</v>
      </c>
      <c r="M9" s="3">
        <v>36</v>
      </c>
      <c r="N9" s="3" t="s">
        <v>701</v>
      </c>
      <c r="O9" s="3" t="s">
        <v>704</v>
      </c>
      <c r="P9" s="3" t="s">
        <v>719</v>
      </c>
      <c r="Q9" s="3" t="s">
        <v>718</v>
      </c>
    </row>
    <row r="10" spans="1:17" x14ac:dyDescent="0.3">
      <c r="A10" s="3" t="s">
        <v>23</v>
      </c>
      <c r="B10" s="3" t="s">
        <v>358</v>
      </c>
      <c r="C10" s="3">
        <v>46</v>
      </c>
      <c r="D10" s="3" t="s">
        <v>688</v>
      </c>
      <c r="E10" s="3" t="s">
        <v>694</v>
      </c>
      <c r="F10" s="3" t="s">
        <v>696</v>
      </c>
      <c r="G10" s="4">
        <v>44841</v>
      </c>
      <c r="H10" s="4">
        <v>45953</v>
      </c>
      <c r="I10" s="3">
        <v>9</v>
      </c>
      <c r="J10" s="3">
        <v>43301</v>
      </c>
      <c r="K10" s="3">
        <v>77</v>
      </c>
      <c r="L10" s="3">
        <v>5</v>
      </c>
      <c r="M10" s="3">
        <v>34</v>
      </c>
      <c r="N10" s="3" t="s">
        <v>702</v>
      </c>
      <c r="O10" s="3" t="s">
        <v>704</v>
      </c>
      <c r="P10" s="3" t="s">
        <v>717</v>
      </c>
      <c r="Q10" s="3" t="s">
        <v>718</v>
      </c>
    </row>
    <row r="11" spans="1:17" x14ac:dyDescent="0.3">
      <c r="A11" s="3" t="s">
        <v>24</v>
      </c>
      <c r="B11" s="3" t="s">
        <v>359</v>
      </c>
      <c r="C11" s="3">
        <v>58</v>
      </c>
      <c r="D11" s="3" t="s">
        <v>689</v>
      </c>
      <c r="E11" s="3" t="s">
        <v>693</v>
      </c>
      <c r="F11" s="3" t="s">
        <v>696</v>
      </c>
      <c r="G11" s="4">
        <v>45726</v>
      </c>
      <c r="H11" s="4"/>
      <c r="I11" s="3">
        <v>5</v>
      </c>
      <c r="J11" s="3">
        <v>91784</v>
      </c>
      <c r="K11" s="3">
        <v>85</v>
      </c>
      <c r="L11" s="3">
        <v>1</v>
      </c>
      <c r="M11" s="3">
        <v>3</v>
      </c>
      <c r="N11" s="3" t="s">
        <v>703</v>
      </c>
      <c r="O11" s="3" t="s">
        <v>705</v>
      </c>
      <c r="P11" s="3" t="s">
        <v>717</v>
      </c>
      <c r="Q11" s="3" t="s">
        <v>714</v>
      </c>
    </row>
    <row r="12" spans="1:17" x14ac:dyDescent="0.3">
      <c r="A12" s="3" t="s">
        <v>25</v>
      </c>
      <c r="B12" s="3" t="s">
        <v>360</v>
      </c>
      <c r="C12" s="3">
        <v>25</v>
      </c>
      <c r="D12" s="3" t="s">
        <v>689</v>
      </c>
      <c r="E12" s="3" t="s">
        <v>694</v>
      </c>
      <c r="F12" s="3" t="s">
        <v>697</v>
      </c>
      <c r="G12" s="4">
        <v>44510</v>
      </c>
      <c r="H12" s="4">
        <v>45464</v>
      </c>
      <c r="I12" s="3">
        <v>15</v>
      </c>
      <c r="J12" s="3">
        <v>94352</v>
      </c>
      <c r="K12" s="3">
        <v>78</v>
      </c>
      <c r="L12" s="3">
        <v>5</v>
      </c>
      <c r="M12" s="3">
        <v>0</v>
      </c>
      <c r="N12" s="3" t="s">
        <v>701</v>
      </c>
      <c r="O12" s="3" t="s">
        <v>704</v>
      </c>
      <c r="P12" s="3" t="s">
        <v>719</v>
      </c>
      <c r="Q12" s="3" t="s">
        <v>714</v>
      </c>
    </row>
    <row r="13" spans="1:17" x14ac:dyDescent="0.3">
      <c r="A13" s="3" t="s">
        <v>26</v>
      </c>
      <c r="B13" s="3" t="s">
        <v>361</v>
      </c>
      <c r="C13" s="3">
        <v>38</v>
      </c>
      <c r="D13" s="3" t="s">
        <v>688</v>
      </c>
      <c r="E13" s="3" t="s">
        <v>693</v>
      </c>
      <c r="F13" s="3" t="s">
        <v>700</v>
      </c>
      <c r="G13" s="4">
        <v>45673</v>
      </c>
      <c r="H13" s="4">
        <v>46142</v>
      </c>
      <c r="I13" s="3">
        <v>10</v>
      </c>
      <c r="J13" s="3">
        <v>81985</v>
      </c>
      <c r="K13" s="3">
        <v>75</v>
      </c>
      <c r="L13" s="3">
        <v>4</v>
      </c>
      <c r="M13" s="3">
        <v>0</v>
      </c>
      <c r="N13" s="3" t="s">
        <v>701</v>
      </c>
      <c r="O13" s="3" t="s">
        <v>704</v>
      </c>
      <c r="P13" s="3" t="s">
        <v>713</v>
      </c>
      <c r="Q13" s="3" t="s">
        <v>714</v>
      </c>
    </row>
    <row r="14" spans="1:17" x14ac:dyDescent="0.3">
      <c r="A14" s="3" t="s">
        <v>27</v>
      </c>
      <c r="B14" s="3" t="s">
        <v>362</v>
      </c>
      <c r="C14" s="3">
        <v>53</v>
      </c>
      <c r="D14" s="3" t="s">
        <v>685</v>
      </c>
      <c r="E14" s="3" t="s">
        <v>695</v>
      </c>
      <c r="F14" s="3" t="s">
        <v>700</v>
      </c>
      <c r="G14" s="4">
        <v>45990</v>
      </c>
      <c r="H14" s="4"/>
      <c r="I14" s="3">
        <v>10</v>
      </c>
      <c r="J14" s="3">
        <v>108748</v>
      </c>
      <c r="K14" s="3">
        <v>86</v>
      </c>
      <c r="L14" s="3">
        <v>5</v>
      </c>
      <c r="M14" s="3">
        <v>12</v>
      </c>
      <c r="N14" s="3" t="s">
        <v>703</v>
      </c>
      <c r="O14" s="3" t="s">
        <v>705</v>
      </c>
      <c r="P14" s="3" t="s">
        <v>717</v>
      </c>
      <c r="Q14" s="3" t="s">
        <v>714</v>
      </c>
    </row>
    <row r="15" spans="1:17" x14ac:dyDescent="0.3">
      <c r="A15" s="3" t="s">
        <v>28</v>
      </c>
      <c r="B15" s="3" t="s">
        <v>363</v>
      </c>
      <c r="C15" s="3">
        <v>54</v>
      </c>
      <c r="D15" s="3" t="s">
        <v>690</v>
      </c>
      <c r="E15" s="3" t="s">
        <v>695</v>
      </c>
      <c r="F15" s="3" t="s">
        <v>699</v>
      </c>
      <c r="G15" s="4">
        <v>44962</v>
      </c>
      <c r="H15" s="4">
        <v>46142</v>
      </c>
      <c r="I15" s="3">
        <v>16</v>
      </c>
      <c r="J15" s="3">
        <v>27552</v>
      </c>
      <c r="K15" s="3">
        <v>73</v>
      </c>
      <c r="L15" s="3">
        <v>3</v>
      </c>
      <c r="M15" s="3">
        <v>19</v>
      </c>
      <c r="N15" s="3" t="s">
        <v>703</v>
      </c>
      <c r="O15" s="3" t="s">
        <v>704</v>
      </c>
      <c r="P15" s="3" t="s">
        <v>717</v>
      </c>
      <c r="Q15" s="3" t="s">
        <v>716</v>
      </c>
    </row>
    <row r="16" spans="1:17" x14ac:dyDescent="0.3">
      <c r="A16" s="3" t="s">
        <v>29</v>
      </c>
      <c r="B16" s="3" t="s">
        <v>364</v>
      </c>
      <c r="C16" s="3">
        <v>26</v>
      </c>
      <c r="D16" s="3" t="s">
        <v>688</v>
      </c>
      <c r="E16" s="3" t="s">
        <v>694</v>
      </c>
      <c r="F16" s="3" t="s">
        <v>700</v>
      </c>
      <c r="G16" s="4">
        <v>44315</v>
      </c>
      <c r="H16" s="4">
        <v>44566</v>
      </c>
      <c r="I16" s="3">
        <v>18</v>
      </c>
      <c r="J16" s="3">
        <v>41483</v>
      </c>
      <c r="K16" s="3">
        <v>74</v>
      </c>
      <c r="L16" s="3">
        <v>4</v>
      </c>
      <c r="M16" s="3">
        <v>35</v>
      </c>
      <c r="N16" s="3" t="s">
        <v>703</v>
      </c>
      <c r="O16" s="3" t="s">
        <v>704</v>
      </c>
      <c r="P16" s="3" t="s">
        <v>715</v>
      </c>
      <c r="Q16" s="3" t="s">
        <v>718</v>
      </c>
    </row>
    <row r="17" spans="1:17" x14ac:dyDescent="0.3">
      <c r="A17" s="3" t="s">
        <v>30</v>
      </c>
      <c r="B17" s="3" t="s">
        <v>365</v>
      </c>
      <c r="C17" s="3">
        <v>34</v>
      </c>
      <c r="D17" s="3" t="s">
        <v>687</v>
      </c>
      <c r="E17" s="3" t="s">
        <v>691</v>
      </c>
      <c r="F17" s="3" t="s">
        <v>699</v>
      </c>
      <c r="G17" s="4">
        <v>44739</v>
      </c>
      <c r="H17" s="4"/>
      <c r="I17" s="3">
        <v>13</v>
      </c>
      <c r="J17" s="3">
        <v>113039</v>
      </c>
      <c r="K17" s="3">
        <v>90</v>
      </c>
      <c r="L17" s="3">
        <v>3</v>
      </c>
      <c r="M17" s="3">
        <v>28</v>
      </c>
      <c r="N17" s="3" t="s">
        <v>701</v>
      </c>
      <c r="O17" s="3" t="s">
        <v>705</v>
      </c>
      <c r="P17" s="3" t="s">
        <v>715</v>
      </c>
      <c r="Q17" s="3" t="s">
        <v>714</v>
      </c>
    </row>
    <row r="18" spans="1:17" x14ac:dyDescent="0.3">
      <c r="A18" s="3" t="s">
        <v>31</v>
      </c>
      <c r="B18" s="3" t="s">
        <v>366</v>
      </c>
      <c r="C18" s="3">
        <v>35</v>
      </c>
      <c r="D18" s="3" t="s">
        <v>690</v>
      </c>
      <c r="E18" s="3" t="s">
        <v>693</v>
      </c>
      <c r="F18" s="3" t="s">
        <v>700</v>
      </c>
      <c r="G18" s="4">
        <v>45121</v>
      </c>
      <c r="H18" s="4">
        <v>45718</v>
      </c>
      <c r="I18" s="3">
        <v>19</v>
      </c>
      <c r="J18" s="3">
        <v>97603</v>
      </c>
      <c r="K18" s="3">
        <v>77</v>
      </c>
      <c r="L18" s="3">
        <v>5</v>
      </c>
      <c r="M18" s="3">
        <v>14</v>
      </c>
      <c r="N18" s="3" t="s">
        <v>703</v>
      </c>
      <c r="O18" s="3" t="s">
        <v>704</v>
      </c>
      <c r="P18" s="3" t="s">
        <v>715</v>
      </c>
      <c r="Q18" s="3" t="s">
        <v>714</v>
      </c>
    </row>
    <row r="19" spans="1:17" x14ac:dyDescent="0.3">
      <c r="A19" s="3" t="s">
        <v>32</v>
      </c>
      <c r="B19" s="3" t="s">
        <v>367</v>
      </c>
      <c r="C19" s="3">
        <v>25</v>
      </c>
      <c r="D19" s="3" t="s">
        <v>690</v>
      </c>
      <c r="E19" s="3" t="s">
        <v>693</v>
      </c>
      <c r="F19" s="3" t="s">
        <v>700</v>
      </c>
      <c r="G19" s="4">
        <v>44342</v>
      </c>
      <c r="H19" s="4">
        <v>44900</v>
      </c>
      <c r="I19" s="3">
        <v>17</v>
      </c>
      <c r="J19" s="3">
        <v>56195</v>
      </c>
      <c r="K19" s="3">
        <v>78</v>
      </c>
      <c r="L19" s="3">
        <v>4</v>
      </c>
      <c r="M19" s="3">
        <v>13</v>
      </c>
      <c r="N19" s="3" t="s">
        <v>701</v>
      </c>
      <c r="O19" s="3" t="s">
        <v>704</v>
      </c>
      <c r="P19" s="3" t="s">
        <v>719</v>
      </c>
      <c r="Q19" s="3" t="s">
        <v>718</v>
      </c>
    </row>
    <row r="20" spans="1:17" x14ac:dyDescent="0.3">
      <c r="A20" s="3" t="s">
        <v>33</v>
      </c>
      <c r="B20" s="3" t="s">
        <v>368</v>
      </c>
      <c r="C20" s="3">
        <v>36</v>
      </c>
      <c r="D20" s="3" t="s">
        <v>689</v>
      </c>
      <c r="E20" s="3" t="s">
        <v>694</v>
      </c>
      <c r="F20" s="3" t="s">
        <v>696</v>
      </c>
      <c r="G20" s="4">
        <v>44467</v>
      </c>
      <c r="H20" s="4"/>
      <c r="I20" s="3">
        <v>4</v>
      </c>
      <c r="J20" s="3">
        <v>37704</v>
      </c>
      <c r="K20" s="3">
        <v>91</v>
      </c>
      <c r="L20" s="3">
        <v>4</v>
      </c>
      <c r="M20" s="3">
        <v>22</v>
      </c>
      <c r="N20" s="3" t="s">
        <v>702</v>
      </c>
      <c r="O20" s="3" t="s">
        <v>705</v>
      </c>
      <c r="P20" s="3" t="s">
        <v>713</v>
      </c>
      <c r="Q20" s="3" t="s">
        <v>716</v>
      </c>
    </row>
    <row r="21" spans="1:17" x14ac:dyDescent="0.3">
      <c r="A21" s="3" t="s">
        <v>34</v>
      </c>
      <c r="B21" s="3" t="s">
        <v>369</v>
      </c>
      <c r="C21" s="3">
        <v>24</v>
      </c>
      <c r="D21" s="3" t="s">
        <v>688</v>
      </c>
      <c r="E21" s="3" t="s">
        <v>692</v>
      </c>
      <c r="F21" s="3" t="s">
        <v>700</v>
      </c>
      <c r="G21" s="4">
        <v>45038</v>
      </c>
      <c r="H21" s="4"/>
      <c r="I21" s="3">
        <v>13</v>
      </c>
      <c r="J21" s="3">
        <v>69473</v>
      </c>
      <c r="K21" s="3">
        <v>95</v>
      </c>
      <c r="L21" s="3">
        <v>1</v>
      </c>
      <c r="M21" s="3">
        <v>15</v>
      </c>
      <c r="N21" s="3" t="s">
        <v>703</v>
      </c>
      <c r="O21" s="3" t="s">
        <v>705</v>
      </c>
      <c r="P21" s="3" t="s">
        <v>719</v>
      </c>
      <c r="Q21" s="3" t="s">
        <v>718</v>
      </c>
    </row>
    <row r="22" spans="1:17" x14ac:dyDescent="0.3">
      <c r="A22" s="3" t="s">
        <v>35</v>
      </c>
      <c r="B22" s="3" t="s">
        <v>370</v>
      </c>
      <c r="C22" s="3">
        <v>29</v>
      </c>
      <c r="D22" s="3" t="s">
        <v>689</v>
      </c>
      <c r="E22" s="3" t="s">
        <v>691</v>
      </c>
      <c r="F22" s="3" t="s">
        <v>699</v>
      </c>
      <c r="G22" s="4">
        <v>44586</v>
      </c>
      <c r="H22" s="4"/>
      <c r="I22" s="3">
        <v>15</v>
      </c>
      <c r="J22" s="3">
        <v>57742</v>
      </c>
      <c r="K22" s="3">
        <v>97</v>
      </c>
      <c r="L22" s="3">
        <v>1</v>
      </c>
      <c r="M22" s="3">
        <v>28</v>
      </c>
      <c r="N22" s="3" t="s">
        <v>701</v>
      </c>
      <c r="O22" s="3" t="s">
        <v>705</v>
      </c>
      <c r="P22" s="3" t="s">
        <v>715</v>
      </c>
      <c r="Q22" s="3" t="s">
        <v>718</v>
      </c>
    </row>
    <row r="23" spans="1:17" x14ac:dyDescent="0.3">
      <c r="A23" s="3" t="s">
        <v>36</v>
      </c>
      <c r="B23" s="3" t="s">
        <v>371</v>
      </c>
      <c r="C23" s="3">
        <v>21</v>
      </c>
      <c r="D23" s="3" t="s">
        <v>690</v>
      </c>
      <c r="E23" s="3" t="s">
        <v>691</v>
      </c>
      <c r="F23" s="3" t="s">
        <v>696</v>
      </c>
      <c r="G23" s="4">
        <v>44397</v>
      </c>
      <c r="H23" s="4">
        <v>45594</v>
      </c>
      <c r="I23" s="3">
        <v>14</v>
      </c>
      <c r="J23" s="3">
        <v>88653</v>
      </c>
      <c r="K23" s="3">
        <v>85</v>
      </c>
      <c r="L23" s="3">
        <v>2</v>
      </c>
      <c r="M23" s="3">
        <v>25</v>
      </c>
      <c r="N23" s="3" t="s">
        <v>703</v>
      </c>
      <c r="O23" s="3" t="s">
        <v>704</v>
      </c>
      <c r="P23" s="3" t="s">
        <v>719</v>
      </c>
      <c r="Q23" s="3" t="s">
        <v>714</v>
      </c>
    </row>
    <row r="24" spans="1:17" x14ac:dyDescent="0.3">
      <c r="A24" s="3" t="s">
        <v>37</v>
      </c>
      <c r="B24" s="3" t="s">
        <v>372</v>
      </c>
      <c r="C24" s="3">
        <v>21</v>
      </c>
      <c r="D24" s="3" t="s">
        <v>689</v>
      </c>
      <c r="E24" s="3" t="s">
        <v>693</v>
      </c>
      <c r="F24" s="3" t="s">
        <v>698</v>
      </c>
      <c r="G24" s="4">
        <v>44534</v>
      </c>
      <c r="H24" s="4"/>
      <c r="I24" s="3">
        <v>10</v>
      </c>
      <c r="J24" s="3">
        <v>80444</v>
      </c>
      <c r="K24" s="3">
        <v>92</v>
      </c>
      <c r="L24" s="3">
        <v>5</v>
      </c>
      <c r="M24" s="3">
        <v>31</v>
      </c>
      <c r="N24" s="3" t="s">
        <v>703</v>
      </c>
      <c r="O24" s="3" t="s">
        <v>705</v>
      </c>
      <c r="P24" s="3" t="s">
        <v>719</v>
      </c>
      <c r="Q24" s="3" t="s">
        <v>714</v>
      </c>
    </row>
    <row r="25" spans="1:17" x14ac:dyDescent="0.3">
      <c r="A25" s="3" t="s">
        <v>38</v>
      </c>
      <c r="B25" s="3" t="s">
        <v>373</v>
      </c>
      <c r="C25" s="3">
        <v>34</v>
      </c>
      <c r="D25" s="3" t="s">
        <v>690</v>
      </c>
      <c r="E25" s="3" t="s">
        <v>695</v>
      </c>
      <c r="F25" s="3" t="s">
        <v>697</v>
      </c>
      <c r="G25" s="4">
        <v>44585</v>
      </c>
      <c r="H25" s="4"/>
      <c r="I25" s="3">
        <v>2</v>
      </c>
      <c r="J25" s="3">
        <v>66104</v>
      </c>
      <c r="K25" s="3">
        <v>71</v>
      </c>
      <c r="L25" s="3">
        <v>1</v>
      </c>
      <c r="M25" s="3">
        <v>37</v>
      </c>
      <c r="N25" s="3" t="s">
        <v>702</v>
      </c>
      <c r="O25" s="3" t="s">
        <v>705</v>
      </c>
      <c r="P25" s="3" t="s">
        <v>715</v>
      </c>
      <c r="Q25" s="3" t="s">
        <v>718</v>
      </c>
    </row>
    <row r="26" spans="1:17" x14ac:dyDescent="0.3">
      <c r="A26" s="3" t="s">
        <v>39</v>
      </c>
      <c r="B26" s="3" t="s">
        <v>374</v>
      </c>
      <c r="C26" s="3">
        <v>53</v>
      </c>
      <c r="D26" s="3" t="s">
        <v>690</v>
      </c>
      <c r="E26" s="3" t="s">
        <v>691</v>
      </c>
      <c r="F26" s="3" t="s">
        <v>700</v>
      </c>
      <c r="G26" s="4">
        <v>45226</v>
      </c>
      <c r="H26" s="4">
        <v>45432</v>
      </c>
      <c r="I26" s="3">
        <v>20</v>
      </c>
      <c r="J26" s="3">
        <v>33907</v>
      </c>
      <c r="K26" s="3">
        <v>91</v>
      </c>
      <c r="L26" s="3">
        <v>2</v>
      </c>
      <c r="M26" s="3">
        <v>25</v>
      </c>
      <c r="N26" s="3" t="s">
        <v>703</v>
      </c>
      <c r="O26" s="3" t="s">
        <v>704</v>
      </c>
      <c r="P26" s="3" t="s">
        <v>717</v>
      </c>
      <c r="Q26" s="3" t="s">
        <v>716</v>
      </c>
    </row>
    <row r="27" spans="1:17" x14ac:dyDescent="0.3">
      <c r="A27" s="3" t="s">
        <v>40</v>
      </c>
      <c r="B27" s="3" t="s">
        <v>375</v>
      </c>
      <c r="C27" s="3">
        <v>26</v>
      </c>
      <c r="D27" s="3" t="s">
        <v>689</v>
      </c>
      <c r="E27" s="3" t="s">
        <v>695</v>
      </c>
      <c r="F27" s="3" t="s">
        <v>697</v>
      </c>
      <c r="G27" s="4">
        <v>46125</v>
      </c>
      <c r="H27" s="4">
        <v>46142</v>
      </c>
      <c r="I27" s="3">
        <v>17</v>
      </c>
      <c r="J27" s="3">
        <v>66467</v>
      </c>
      <c r="K27" s="3">
        <v>99</v>
      </c>
      <c r="L27" s="3">
        <v>3</v>
      </c>
      <c r="M27" s="3">
        <v>13</v>
      </c>
      <c r="N27" s="3" t="s">
        <v>701</v>
      </c>
      <c r="O27" s="3" t="s">
        <v>704</v>
      </c>
      <c r="P27" s="3" t="s">
        <v>715</v>
      </c>
      <c r="Q27" s="3" t="s">
        <v>718</v>
      </c>
    </row>
    <row r="28" spans="1:17" x14ac:dyDescent="0.3">
      <c r="A28" s="3" t="s">
        <v>41</v>
      </c>
      <c r="B28" s="3" t="s">
        <v>376</v>
      </c>
      <c r="C28" s="3">
        <v>36</v>
      </c>
      <c r="D28" s="3" t="s">
        <v>686</v>
      </c>
      <c r="E28" s="3" t="s">
        <v>694</v>
      </c>
      <c r="F28" s="3" t="s">
        <v>696</v>
      </c>
      <c r="G28" s="4">
        <v>45663</v>
      </c>
      <c r="H28" s="4"/>
      <c r="I28" s="3">
        <v>10</v>
      </c>
      <c r="J28" s="3">
        <v>84929</v>
      </c>
      <c r="K28" s="3">
        <v>80</v>
      </c>
      <c r="L28" s="3">
        <v>1</v>
      </c>
      <c r="M28" s="3">
        <v>0</v>
      </c>
      <c r="N28" s="3" t="s">
        <v>702</v>
      </c>
      <c r="O28" s="3" t="s">
        <v>705</v>
      </c>
      <c r="P28" s="3" t="s">
        <v>713</v>
      </c>
      <c r="Q28" s="3" t="s">
        <v>714</v>
      </c>
    </row>
    <row r="29" spans="1:17" x14ac:dyDescent="0.3">
      <c r="A29" s="3" t="s">
        <v>42</v>
      </c>
      <c r="B29" s="3" t="s">
        <v>377</v>
      </c>
      <c r="C29" s="3">
        <v>55</v>
      </c>
      <c r="D29" s="3" t="s">
        <v>685</v>
      </c>
      <c r="E29" s="3" t="s">
        <v>695</v>
      </c>
      <c r="F29" s="3" t="s">
        <v>699</v>
      </c>
      <c r="G29" s="4">
        <v>45469</v>
      </c>
      <c r="H29" s="4">
        <v>45709</v>
      </c>
      <c r="I29" s="3">
        <v>5</v>
      </c>
      <c r="J29" s="3">
        <v>70745</v>
      </c>
      <c r="K29" s="3">
        <v>98</v>
      </c>
      <c r="L29" s="3">
        <v>1</v>
      </c>
      <c r="M29" s="3">
        <v>15</v>
      </c>
      <c r="N29" s="3" t="s">
        <v>702</v>
      </c>
      <c r="O29" s="3" t="s">
        <v>704</v>
      </c>
      <c r="P29" s="3" t="s">
        <v>717</v>
      </c>
      <c r="Q29" s="3" t="s">
        <v>718</v>
      </c>
    </row>
    <row r="30" spans="1:17" x14ac:dyDescent="0.3">
      <c r="A30" s="3" t="s">
        <v>43</v>
      </c>
      <c r="B30" s="3" t="s">
        <v>378</v>
      </c>
      <c r="C30" s="3">
        <v>55</v>
      </c>
      <c r="D30" s="3" t="s">
        <v>688</v>
      </c>
      <c r="E30" s="3" t="s">
        <v>693</v>
      </c>
      <c r="F30" s="3" t="s">
        <v>697</v>
      </c>
      <c r="G30" s="4">
        <v>44780</v>
      </c>
      <c r="H30" s="4">
        <v>45767</v>
      </c>
      <c r="I30" s="3">
        <v>17</v>
      </c>
      <c r="J30" s="3">
        <v>26025</v>
      </c>
      <c r="K30" s="3">
        <v>91</v>
      </c>
      <c r="L30" s="3">
        <v>5</v>
      </c>
      <c r="M30" s="3">
        <v>19</v>
      </c>
      <c r="N30" s="3" t="s">
        <v>701</v>
      </c>
      <c r="O30" s="3" t="s">
        <v>704</v>
      </c>
      <c r="P30" s="3" t="s">
        <v>717</v>
      </c>
      <c r="Q30" s="3" t="s">
        <v>716</v>
      </c>
    </row>
    <row r="31" spans="1:17" x14ac:dyDescent="0.3">
      <c r="A31" s="3" t="s">
        <v>44</v>
      </c>
      <c r="B31" s="3" t="s">
        <v>379</v>
      </c>
      <c r="C31" s="3">
        <v>28</v>
      </c>
      <c r="D31" s="3" t="s">
        <v>690</v>
      </c>
      <c r="E31" s="3" t="s">
        <v>695</v>
      </c>
      <c r="F31" s="3" t="s">
        <v>696</v>
      </c>
      <c r="G31" s="4">
        <v>44409</v>
      </c>
      <c r="H31" s="4">
        <v>45040</v>
      </c>
      <c r="I31" s="3">
        <v>9</v>
      </c>
      <c r="J31" s="3">
        <v>61930</v>
      </c>
      <c r="K31" s="3">
        <v>89</v>
      </c>
      <c r="L31" s="3">
        <v>2</v>
      </c>
      <c r="M31" s="3">
        <v>21</v>
      </c>
      <c r="N31" s="3" t="s">
        <v>703</v>
      </c>
      <c r="O31" s="3" t="s">
        <v>704</v>
      </c>
      <c r="P31" s="3" t="s">
        <v>715</v>
      </c>
      <c r="Q31" s="3" t="s">
        <v>718</v>
      </c>
    </row>
    <row r="32" spans="1:17" x14ac:dyDescent="0.3">
      <c r="A32" s="3" t="s">
        <v>45</v>
      </c>
      <c r="B32" s="3" t="s">
        <v>380</v>
      </c>
      <c r="C32" s="3">
        <v>53</v>
      </c>
      <c r="D32" s="3" t="s">
        <v>689</v>
      </c>
      <c r="E32" s="3" t="s">
        <v>693</v>
      </c>
      <c r="F32" s="3" t="s">
        <v>700</v>
      </c>
      <c r="G32" s="4">
        <v>45604</v>
      </c>
      <c r="H32" s="4"/>
      <c r="I32" s="3">
        <v>3</v>
      </c>
      <c r="J32" s="3">
        <v>108136</v>
      </c>
      <c r="K32" s="3">
        <v>83</v>
      </c>
      <c r="L32" s="3">
        <v>3</v>
      </c>
      <c r="M32" s="3">
        <v>2</v>
      </c>
      <c r="N32" s="3" t="s">
        <v>703</v>
      </c>
      <c r="O32" s="3" t="s">
        <v>705</v>
      </c>
      <c r="P32" s="3" t="s">
        <v>717</v>
      </c>
      <c r="Q32" s="3" t="s">
        <v>714</v>
      </c>
    </row>
    <row r="33" spans="1:17" x14ac:dyDescent="0.3">
      <c r="A33" s="3" t="s">
        <v>46</v>
      </c>
      <c r="B33" s="3" t="s">
        <v>381</v>
      </c>
      <c r="C33" s="3">
        <v>31</v>
      </c>
      <c r="D33" s="3" t="s">
        <v>688</v>
      </c>
      <c r="E33" s="3" t="s">
        <v>694</v>
      </c>
      <c r="F33" s="3" t="s">
        <v>697</v>
      </c>
      <c r="G33" s="4">
        <v>44880</v>
      </c>
      <c r="H33" s="4">
        <v>45506</v>
      </c>
      <c r="I33" s="3">
        <v>14</v>
      </c>
      <c r="J33" s="3">
        <v>98519</v>
      </c>
      <c r="K33" s="3">
        <v>70</v>
      </c>
      <c r="L33" s="3">
        <v>1</v>
      </c>
      <c r="M33" s="3">
        <v>4</v>
      </c>
      <c r="N33" s="3" t="s">
        <v>701</v>
      </c>
      <c r="O33" s="3" t="s">
        <v>704</v>
      </c>
      <c r="P33" s="3" t="s">
        <v>715</v>
      </c>
      <c r="Q33" s="3" t="s">
        <v>714</v>
      </c>
    </row>
    <row r="34" spans="1:17" x14ac:dyDescent="0.3">
      <c r="A34" s="3" t="s">
        <v>47</v>
      </c>
      <c r="B34" s="3" t="s">
        <v>382</v>
      </c>
      <c r="C34" s="3">
        <v>44</v>
      </c>
      <c r="D34" s="3" t="s">
        <v>687</v>
      </c>
      <c r="E34" s="3" t="s">
        <v>695</v>
      </c>
      <c r="F34" s="3" t="s">
        <v>696</v>
      </c>
      <c r="G34" s="4">
        <v>46048</v>
      </c>
      <c r="H34" s="4">
        <v>46142</v>
      </c>
      <c r="I34" s="3">
        <v>14</v>
      </c>
      <c r="J34" s="3">
        <v>41704</v>
      </c>
      <c r="K34" s="3">
        <v>71</v>
      </c>
      <c r="L34" s="3">
        <v>3</v>
      </c>
      <c r="M34" s="3">
        <v>23</v>
      </c>
      <c r="N34" s="3" t="s">
        <v>703</v>
      </c>
      <c r="O34" s="3" t="s">
        <v>704</v>
      </c>
      <c r="P34" s="3" t="s">
        <v>713</v>
      </c>
      <c r="Q34" s="3" t="s">
        <v>718</v>
      </c>
    </row>
    <row r="35" spans="1:17" x14ac:dyDescent="0.3">
      <c r="A35" s="3" t="s">
        <v>48</v>
      </c>
      <c r="B35" s="3" t="s">
        <v>383</v>
      </c>
      <c r="C35" s="3">
        <v>34</v>
      </c>
      <c r="D35" s="3" t="s">
        <v>688</v>
      </c>
      <c r="E35" s="3" t="s">
        <v>691</v>
      </c>
      <c r="F35" s="3" t="s">
        <v>700</v>
      </c>
      <c r="G35" s="4">
        <v>46037</v>
      </c>
      <c r="H35" s="4"/>
      <c r="I35" s="3">
        <v>12</v>
      </c>
      <c r="J35" s="3">
        <v>98385</v>
      </c>
      <c r="K35" s="3">
        <v>98</v>
      </c>
      <c r="L35" s="3">
        <v>4</v>
      </c>
      <c r="M35" s="3">
        <v>39</v>
      </c>
      <c r="N35" s="3" t="s">
        <v>701</v>
      </c>
      <c r="O35" s="3" t="s">
        <v>705</v>
      </c>
      <c r="P35" s="3" t="s">
        <v>715</v>
      </c>
      <c r="Q35" s="3" t="s">
        <v>714</v>
      </c>
    </row>
    <row r="36" spans="1:17" x14ac:dyDescent="0.3">
      <c r="A36" s="3" t="s">
        <v>49</v>
      </c>
      <c r="B36" s="3" t="s">
        <v>384</v>
      </c>
      <c r="C36" s="3">
        <v>32</v>
      </c>
      <c r="D36" s="3" t="s">
        <v>689</v>
      </c>
      <c r="E36" s="3" t="s">
        <v>692</v>
      </c>
      <c r="F36" s="3" t="s">
        <v>696</v>
      </c>
      <c r="G36" s="4">
        <v>44513</v>
      </c>
      <c r="H36" s="4">
        <v>44935</v>
      </c>
      <c r="I36" s="3">
        <v>11</v>
      </c>
      <c r="J36" s="3">
        <v>78964</v>
      </c>
      <c r="K36" s="3">
        <v>95</v>
      </c>
      <c r="L36" s="3">
        <v>2</v>
      </c>
      <c r="M36" s="3">
        <v>17</v>
      </c>
      <c r="N36" s="3" t="s">
        <v>703</v>
      </c>
      <c r="O36" s="3" t="s">
        <v>704</v>
      </c>
      <c r="P36" s="3" t="s">
        <v>715</v>
      </c>
      <c r="Q36" s="3" t="s">
        <v>718</v>
      </c>
    </row>
    <row r="37" spans="1:17" x14ac:dyDescent="0.3">
      <c r="A37" s="3" t="s">
        <v>50</v>
      </c>
      <c r="B37" s="3" t="s">
        <v>385</v>
      </c>
      <c r="C37" s="3">
        <v>23</v>
      </c>
      <c r="D37" s="3" t="s">
        <v>689</v>
      </c>
      <c r="E37" s="3" t="s">
        <v>691</v>
      </c>
      <c r="F37" s="3" t="s">
        <v>696</v>
      </c>
      <c r="G37" s="4">
        <v>45809</v>
      </c>
      <c r="H37" s="4">
        <v>46142</v>
      </c>
      <c r="I37" s="3">
        <v>15</v>
      </c>
      <c r="J37" s="3">
        <v>70830</v>
      </c>
      <c r="K37" s="3">
        <v>79</v>
      </c>
      <c r="L37" s="3">
        <v>2</v>
      </c>
      <c r="M37" s="3">
        <v>14</v>
      </c>
      <c r="N37" s="3" t="s">
        <v>703</v>
      </c>
      <c r="O37" s="3" t="s">
        <v>704</v>
      </c>
      <c r="P37" s="3" t="s">
        <v>719</v>
      </c>
      <c r="Q37" s="3" t="s">
        <v>718</v>
      </c>
    </row>
    <row r="38" spans="1:17" x14ac:dyDescent="0.3">
      <c r="A38" s="3" t="s">
        <v>51</v>
      </c>
      <c r="B38" s="3" t="s">
        <v>386</v>
      </c>
      <c r="C38" s="3">
        <v>42</v>
      </c>
      <c r="D38" s="3" t="s">
        <v>686</v>
      </c>
      <c r="E38" s="3" t="s">
        <v>692</v>
      </c>
      <c r="F38" s="3" t="s">
        <v>699</v>
      </c>
      <c r="G38" s="4">
        <v>45548</v>
      </c>
      <c r="H38" s="4">
        <v>46142</v>
      </c>
      <c r="I38" s="3">
        <v>12</v>
      </c>
      <c r="J38" s="3">
        <v>109080</v>
      </c>
      <c r="K38" s="3">
        <v>86</v>
      </c>
      <c r="L38" s="3">
        <v>4</v>
      </c>
      <c r="M38" s="3">
        <v>34</v>
      </c>
      <c r="N38" s="3" t="s">
        <v>702</v>
      </c>
      <c r="O38" s="3" t="s">
        <v>704</v>
      </c>
      <c r="P38" s="3" t="s">
        <v>713</v>
      </c>
      <c r="Q38" s="3" t="s">
        <v>714</v>
      </c>
    </row>
    <row r="39" spans="1:17" x14ac:dyDescent="0.3">
      <c r="A39" s="3" t="s">
        <v>52</v>
      </c>
      <c r="B39" s="3" t="s">
        <v>387</v>
      </c>
      <c r="C39" s="3">
        <v>37</v>
      </c>
      <c r="D39" s="3" t="s">
        <v>685</v>
      </c>
      <c r="E39" s="3" t="s">
        <v>695</v>
      </c>
      <c r="F39" s="3" t="s">
        <v>699</v>
      </c>
      <c r="G39" s="4">
        <v>46120</v>
      </c>
      <c r="H39" s="4">
        <v>46142</v>
      </c>
      <c r="I39" s="3">
        <v>2</v>
      </c>
      <c r="J39" s="3">
        <v>39208</v>
      </c>
      <c r="K39" s="3">
        <v>89</v>
      </c>
      <c r="L39" s="3">
        <v>4</v>
      </c>
      <c r="M39" s="3">
        <v>22</v>
      </c>
      <c r="N39" s="3" t="s">
        <v>701</v>
      </c>
      <c r="O39" s="3" t="s">
        <v>704</v>
      </c>
      <c r="P39" s="3" t="s">
        <v>713</v>
      </c>
      <c r="Q39" s="3" t="s">
        <v>716</v>
      </c>
    </row>
    <row r="40" spans="1:17" x14ac:dyDescent="0.3">
      <c r="A40" s="3" t="s">
        <v>53</v>
      </c>
      <c r="B40" s="3" t="s">
        <v>388</v>
      </c>
      <c r="C40" s="3">
        <v>48</v>
      </c>
      <c r="D40" s="3" t="s">
        <v>687</v>
      </c>
      <c r="E40" s="3" t="s">
        <v>695</v>
      </c>
      <c r="F40" s="3" t="s">
        <v>700</v>
      </c>
      <c r="G40" s="4">
        <v>45807</v>
      </c>
      <c r="H40" s="4"/>
      <c r="I40" s="3">
        <v>13</v>
      </c>
      <c r="J40" s="3">
        <v>100574</v>
      </c>
      <c r="K40" s="3">
        <v>76</v>
      </c>
      <c r="L40" s="3">
        <v>3</v>
      </c>
      <c r="M40" s="3">
        <v>2</v>
      </c>
      <c r="N40" s="3" t="s">
        <v>701</v>
      </c>
      <c r="O40" s="3" t="s">
        <v>705</v>
      </c>
      <c r="P40" s="3" t="s">
        <v>717</v>
      </c>
      <c r="Q40" s="3" t="s">
        <v>714</v>
      </c>
    </row>
    <row r="41" spans="1:17" x14ac:dyDescent="0.3">
      <c r="A41" s="3" t="s">
        <v>54</v>
      </c>
      <c r="B41" s="3" t="s">
        <v>389</v>
      </c>
      <c r="C41" s="3">
        <v>55</v>
      </c>
      <c r="D41" s="3" t="s">
        <v>688</v>
      </c>
      <c r="E41" s="3" t="s">
        <v>691</v>
      </c>
      <c r="F41" s="3" t="s">
        <v>699</v>
      </c>
      <c r="G41" s="4">
        <v>45090</v>
      </c>
      <c r="H41" s="4">
        <v>46142</v>
      </c>
      <c r="I41" s="3">
        <v>14</v>
      </c>
      <c r="J41" s="3">
        <v>34171</v>
      </c>
      <c r="K41" s="3">
        <v>100</v>
      </c>
      <c r="L41" s="3">
        <v>3</v>
      </c>
      <c r="M41" s="3">
        <v>39</v>
      </c>
      <c r="N41" s="3" t="s">
        <v>702</v>
      </c>
      <c r="O41" s="3" t="s">
        <v>704</v>
      </c>
      <c r="P41" s="3" t="s">
        <v>717</v>
      </c>
      <c r="Q41" s="3" t="s">
        <v>716</v>
      </c>
    </row>
    <row r="42" spans="1:17" x14ac:dyDescent="0.3">
      <c r="A42" s="3" t="s">
        <v>55</v>
      </c>
      <c r="B42" s="3" t="s">
        <v>390</v>
      </c>
      <c r="C42" s="3">
        <v>53</v>
      </c>
      <c r="D42" s="3" t="s">
        <v>686</v>
      </c>
      <c r="E42" s="3" t="s">
        <v>694</v>
      </c>
      <c r="F42" s="3" t="s">
        <v>699</v>
      </c>
      <c r="G42" s="4">
        <v>45555</v>
      </c>
      <c r="H42" s="4">
        <v>46142</v>
      </c>
      <c r="I42" s="3">
        <v>13</v>
      </c>
      <c r="J42" s="3">
        <v>116384</v>
      </c>
      <c r="K42" s="3">
        <v>79</v>
      </c>
      <c r="L42" s="3">
        <v>5</v>
      </c>
      <c r="M42" s="3">
        <v>8</v>
      </c>
      <c r="N42" s="3" t="s">
        <v>703</v>
      </c>
      <c r="O42" s="3" t="s">
        <v>704</v>
      </c>
      <c r="P42" s="3" t="s">
        <v>717</v>
      </c>
      <c r="Q42" s="3" t="s">
        <v>714</v>
      </c>
    </row>
    <row r="43" spans="1:17" x14ac:dyDescent="0.3">
      <c r="A43" s="3" t="s">
        <v>56</v>
      </c>
      <c r="B43" s="3" t="s">
        <v>391</v>
      </c>
      <c r="C43" s="3">
        <v>32</v>
      </c>
      <c r="D43" s="3" t="s">
        <v>687</v>
      </c>
      <c r="E43" s="3" t="s">
        <v>695</v>
      </c>
      <c r="F43" s="3" t="s">
        <v>699</v>
      </c>
      <c r="G43" s="4">
        <v>45058</v>
      </c>
      <c r="H43" s="4"/>
      <c r="I43" s="3">
        <v>13</v>
      </c>
      <c r="J43" s="3">
        <v>96819</v>
      </c>
      <c r="K43" s="3">
        <v>96</v>
      </c>
      <c r="L43" s="3">
        <v>1</v>
      </c>
      <c r="M43" s="3">
        <v>19</v>
      </c>
      <c r="N43" s="3" t="s">
        <v>702</v>
      </c>
      <c r="O43" s="3" t="s">
        <v>705</v>
      </c>
      <c r="P43" s="3" t="s">
        <v>715</v>
      </c>
      <c r="Q43" s="3" t="s">
        <v>714</v>
      </c>
    </row>
    <row r="44" spans="1:17" x14ac:dyDescent="0.3">
      <c r="A44" s="3" t="s">
        <v>57</v>
      </c>
      <c r="B44" s="3" t="s">
        <v>392</v>
      </c>
      <c r="C44" s="3">
        <v>58</v>
      </c>
      <c r="D44" s="3" t="s">
        <v>687</v>
      </c>
      <c r="E44" s="3" t="s">
        <v>693</v>
      </c>
      <c r="F44" s="3" t="s">
        <v>698</v>
      </c>
      <c r="G44" s="4">
        <v>44627</v>
      </c>
      <c r="H44" s="4"/>
      <c r="I44" s="3">
        <v>15</v>
      </c>
      <c r="J44" s="3">
        <v>82954</v>
      </c>
      <c r="K44" s="3">
        <v>91</v>
      </c>
      <c r="L44" s="3">
        <v>2</v>
      </c>
      <c r="M44" s="3">
        <v>32</v>
      </c>
      <c r="N44" s="3" t="s">
        <v>702</v>
      </c>
      <c r="O44" s="3" t="s">
        <v>705</v>
      </c>
      <c r="P44" s="3" t="s">
        <v>717</v>
      </c>
      <c r="Q44" s="3" t="s">
        <v>714</v>
      </c>
    </row>
    <row r="45" spans="1:17" x14ac:dyDescent="0.3">
      <c r="A45" s="3" t="s">
        <v>58</v>
      </c>
      <c r="B45" s="3" t="s">
        <v>393</v>
      </c>
      <c r="C45" s="3">
        <v>39</v>
      </c>
      <c r="D45" s="3" t="s">
        <v>687</v>
      </c>
      <c r="E45" s="3" t="s">
        <v>695</v>
      </c>
      <c r="F45" s="3" t="s">
        <v>699</v>
      </c>
      <c r="G45" s="4">
        <v>45822</v>
      </c>
      <c r="H45" s="4">
        <v>46085</v>
      </c>
      <c r="I45" s="3">
        <v>3</v>
      </c>
      <c r="J45" s="3">
        <v>55784</v>
      </c>
      <c r="K45" s="3">
        <v>91</v>
      </c>
      <c r="L45" s="3">
        <v>3</v>
      </c>
      <c r="M45" s="3">
        <v>14</v>
      </c>
      <c r="N45" s="3" t="s">
        <v>703</v>
      </c>
      <c r="O45" s="3" t="s">
        <v>704</v>
      </c>
      <c r="P45" s="3" t="s">
        <v>713</v>
      </c>
      <c r="Q45" s="3" t="s">
        <v>718</v>
      </c>
    </row>
    <row r="46" spans="1:17" x14ac:dyDescent="0.3">
      <c r="A46" s="3" t="s">
        <v>59</v>
      </c>
      <c r="B46" s="3" t="s">
        <v>394</v>
      </c>
      <c r="C46" s="3">
        <v>36</v>
      </c>
      <c r="D46" s="3" t="s">
        <v>689</v>
      </c>
      <c r="E46" s="3" t="s">
        <v>695</v>
      </c>
      <c r="F46" s="3" t="s">
        <v>700</v>
      </c>
      <c r="G46" s="4">
        <v>44498</v>
      </c>
      <c r="H46" s="4">
        <v>44682</v>
      </c>
      <c r="I46" s="3">
        <v>15</v>
      </c>
      <c r="J46" s="3">
        <v>79321</v>
      </c>
      <c r="K46" s="3">
        <v>98</v>
      </c>
      <c r="L46" s="3">
        <v>5</v>
      </c>
      <c r="M46" s="3">
        <v>12</v>
      </c>
      <c r="N46" s="3" t="s">
        <v>701</v>
      </c>
      <c r="O46" s="3" t="s">
        <v>704</v>
      </c>
      <c r="P46" s="3" t="s">
        <v>713</v>
      </c>
      <c r="Q46" s="3" t="s">
        <v>718</v>
      </c>
    </row>
    <row r="47" spans="1:17" x14ac:dyDescent="0.3">
      <c r="A47" s="3" t="s">
        <v>60</v>
      </c>
      <c r="B47" s="3" t="s">
        <v>395</v>
      </c>
      <c r="C47" s="3">
        <v>52</v>
      </c>
      <c r="D47" s="3" t="s">
        <v>689</v>
      </c>
      <c r="E47" s="3" t="s">
        <v>691</v>
      </c>
      <c r="F47" s="3" t="s">
        <v>696</v>
      </c>
      <c r="G47" s="4">
        <v>45623</v>
      </c>
      <c r="H47" s="4"/>
      <c r="I47" s="3">
        <v>1</v>
      </c>
      <c r="J47" s="3">
        <v>38970</v>
      </c>
      <c r="K47" s="3">
        <v>94</v>
      </c>
      <c r="L47" s="3">
        <v>4</v>
      </c>
      <c r="M47" s="3">
        <v>14</v>
      </c>
      <c r="N47" s="3" t="s">
        <v>703</v>
      </c>
      <c r="O47" s="3" t="s">
        <v>705</v>
      </c>
      <c r="P47" s="3" t="s">
        <v>717</v>
      </c>
      <c r="Q47" s="3" t="s">
        <v>716</v>
      </c>
    </row>
    <row r="48" spans="1:17" x14ac:dyDescent="0.3">
      <c r="A48" s="3" t="s">
        <v>61</v>
      </c>
      <c r="B48" s="3" t="s">
        <v>396</v>
      </c>
      <c r="C48" s="3">
        <v>24</v>
      </c>
      <c r="D48" s="3" t="s">
        <v>687</v>
      </c>
      <c r="E48" s="3" t="s">
        <v>691</v>
      </c>
      <c r="F48" s="3" t="s">
        <v>700</v>
      </c>
      <c r="G48" s="4">
        <v>45843</v>
      </c>
      <c r="H48" s="4"/>
      <c r="I48" s="3">
        <v>15</v>
      </c>
      <c r="J48" s="3">
        <v>42477</v>
      </c>
      <c r="K48" s="3">
        <v>95</v>
      </c>
      <c r="L48" s="3">
        <v>4</v>
      </c>
      <c r="M48" s="3">
        <v>33</v>
      </c>
      <c r="N48" s="3" t="s">
        <v>701</v>
      </c>
      <c r="O48" s="3" t="s">
        <v>705</v>
      </c>
      <c r="P48" s="3" t="s">
        <v>719</v>
      </c>
      <c r="Q48" s="3" t="s">
        <v>718</v>
      </c>
    </row>
    <row r="49" spans="1:17" x14ac:dyDescent="0.3">
      <c r="A49" s="3" t="s">
        <v>62</v>
      </c>
      <c r="B49" s="3" t="s">
        <v>397</v>
      </c>
      <c r="C49" s="3">
        <v>49</v>
      </c>
      <c r="D49" s="3" t="s">
        <v>687</v>
      </c>
      <c r="E49" s="3" t="s">
        <v>695</v>
      </c>
      <c r="F49" s="3" t="s">
        <v>698</v>
      </c>
      <c r="G49" s="4">
        <v>45416</v>
      </c>
      <c r="H49" s="4"/>
      <c r="I49" s="3">
        <v>18</v>
      </c>
      <c r="J49" s="3">
        <v>83446</v>
      </c>
      <c r="K49" s="3">
        <v>98</v>
      </c>
      <c r="L49" s="3">
        <v>2</v>
      </c>
      <c r="M49" s="3">
        <v>30</v>
      </c>
      <c r="N49" s="3" t="s">
        <v>702</v>
      </c>
      <c r="O49" s="3" t="s">
        <v>705</v>
      </c>
      <c r="P49" s="3" t="s">
        <v>717</v>
      </c>
      <c r="Q49" s="3" t="s">
        <v>714</v>
      </c>
    </row>
    <row r="50" spans="1:17" x14ac:dyDescent="0.3">
      <c r="A50" s="3" t="s">
        <v>63</v>
      </c>
      <c r="B50" s="3" t="s">
        <v>398</v>
      </c>
      <c r="C50" s="3">
        <v>54</v>
      </c>
      <c r="D50" s="3" t="s">
        <v>689</v>
      </c>
      <c r="E50" s="3" t="s">
        <v>691</v>
      </c>
      <c r="F50" s="3" t="s">
        <v>699</v>
      </c>
      <c r="G50" s="4">
        <v>44727</v>
      </c>
      <c r="H50" s="4">
        <v>45384</v>
      </c>
      <c r="I50" s="3">
        <v>15</v>
      </c>
      <c r="J50" s="3">
        <v>35155</v>
      </c>
      <c r="K50" s="3">
        <v>92</v>
      </c>
      <c r="L50" s="3">
        <v>3</v>
      </c>
      <c r="M50" s="3">
        <v>15</v>
      </c>
      <c r="N50" s="3" t="s">
        <v>702</v>
      </c>
      <c r="O50" s="3" t="s">
        <v>704</v>
      </c>
      <c r="P50" s="3" t="s">
        <v>717</v>
      </c>
      <c r="Q50" s="3" t="s">
        <v>716</v>
      </c>
    </row>
    <row r="51" spans="1:17" x14ac:dyDescent="0.3">
      <c r="A51" s="3" t="s">
        <v>64</v>
      </c>
      <c r="B51" s="3" t="s">
        <v>399</v>
      </c>
      <c r="C51" s="3">
        <v>55</v>
      </c>
      <c r="D51" s="3" t="s">
        <v>690</v>
      </c>
      <c r="E51" s="3" t="s">
        <v>691</v>
      </c>
      <c r="F51" s="3" t="s">
        <v>696</v>
      </c>
      <c r="G51" s="4">
        <v>44884</v>
      </c>
      <c r="H51" s="4"/>
      <c r="I51" s="3">
        <v>8</v>
      </c>
      <c r="J51" s="3">
        <v>75205</v>
      </c>
      <c r="K51" s="3">
        <v>92</v>
      </c>
      <c r="L51" s="3">
        <v>2</v>
      </c>
      <c r="M51" s="3">
        <v>13</v>
      </c>
      <c r="N51" s="3" t="s">
        <v>703</v>
      </c>
      <c r="O51" s="3" t="s">
        <v>705</v>
      </c>
      <c r="P51" s="3" t="s">
        <v>717</v>
      </c>
      <c r="Q51" s="3" t="s">
        <v>718</v>
      </c>
    </row>
    <row r="52" spans="1:17" x14ac:dyDescent="0.3">
      <c r="A52" s="3" t="s">
        <v>65</v>
      </c>
      <c r="B52" s="3" t="s">
        <v>400</v>
      </c>
      <c r="C52" s="3">
        <v>42</v>
      </c>
      <c r="D52" s="3" t="s">
        <v>687</v>
      </c>
      <c r="E52" s="3" t="s">
        <v>694</v>
      </c>
      <c r="F52" s="3" t="s">
        <v>698</v>
      </c>
      <c r="G52" s="4">
        <v>45046</v>
      </c>
      <c r="H52" s="4"/>
      <c r="I52" s="3">
        <v>2</v>
      </c>
      <c r="J52" s="3">
        <v>52110</v>
      </c>
      <c r="K52" s="3">
        <v>96</v>
      </c>
      <c r="L52" s="3">
        <v>4</v>
      </c>
      <c r="M52" s="3">
        <v>24</v>
      </c>
      <c r="N52" s="3" t="s">
        <v>701</v>
      </c>
      <c r="O52" s="3" t="s">
        <v>705</v>
      </c>
      <c r="P52" s="3" t="s">
        <v>713</v>
      </c>
      <c r="Q52" s="3" t="s">
        <v>718</v>
      </c>
    </row>
    <row r="53" spans="1:17" x14ac:dyDescent="0.3">
      <c r="A53" s="3" t="s">
        <v>66</v>
      </c>
      <c r="B53" s="3" t="s">
        <v>401</v>
      </c>
      <c r="C53" s="3">
        <v>51</v>
      </c>
      <c r="D53" s="3" t="s">
        <v>690</v>
      </c>
      <c r="E53" s="3" t="s">
        <v>693</v>
      </c>
      <c r="F53" s="3" t="s">
        <v>699</v>
      </c>
      <c r="G53" s="4">
        <v>46134</v>
      </c>
      <c r="H53" s="4">
        <v>46142</v>
      </c>
      <c r="I53" s="3">
        <v>13</v>
      </c>
      <c r="J53" s="3">
        <v>79921</v>
      </c>
      <c r="K53" s="3">
        <v>87</v>
      </c>
      <c r="L53" s="3">
        <v>5</v>
      </c>
      <c r="M53" s="3">
        <v>38</v>
      </c>
      <c r="N53" s="3" t="s">
        <v>703</v>
      </c>
      <c r="O53" s="3" t="s">
        <v>704</v>
      </c>
      <c r="P53" s="3" t="s">
        <v>717</v>
      </c>
      <c r="Q53" s="3" t="s">
        <v>718</v>
      </c>
    </row>
    <row r="54" spans="1:17" x14ac:dyDescent="0.3">
      <c r="A54" s="3" t="s">
        <v>67</v>
      </c>
      <c r="B54" s="3" t="s">
        <v>402</v>
      </c>
      <c r="C54" s="3">
        <v>48</v>
      </c>
      <c r="D54" s="3" t="s">
        <v>689</v>
      </c>
      <c r="E54" s="3" t="s">
        <v>692</v>
      </c>
      <c r="F54" s="3" t="s">
        <v>698</v>
      </c>
      <c r="G54" s="4">
        <v>45196</v>
      </c>
      <c r="H54" s="4">
        <v>45844</v>
      </c>
      <c r="I54" s="3">
        <v>11</v>
      </c>
      <c r="J54" s="3">
        <v>112670</v>
      </c>
      <c r="K54" s="3">
        <v>91</v>
      </c>
      <c r="L54" s="3">
        <v>4</v>
      </c>
      <c r="M54" s="3">
        <v>10</v>
      </c>
      <c r="N54" s="3" t="s">
        <v>702</v>
      </c>
      <c r="O54" s="3" t="s">
        <v>704</v>
      </c>
      <c r="P54" s="3" t="s">
        <v>717</v>
      </c>
      <c r="Q54" s="3" t="s">
        <v>714</v>
      </c>
    </row>
    <row r="55" spans="1:17" x14ac:dyDescent="0.3">
      <c r="A55" s="3" t="s">
        <v>68</v>
      </c>
      <c r="B55" s="3" t="s">
        <v>403</v>
      </c>
      <c r="C55" s="3">
        <v>22</v>
      </c>
      <c r="D55" s="3" t="s">
        <v>689</v>
      </c>
      <c r="E55" s="3" t="s">
        <v>695</v>
      </c>
      <c r="F55" s="3" t="s">
        <v>697</v>
      </c>
      <c r="G55" s="4">
        <v>46080</v>
      </c>
      <c r="H55" s="4">
        <v>46142</v>
      </c>
      <c r="I55" s="3">
        <v>1</v>
      </c>
      <c r="J55" s="3">
        <v>36003</v>
      </c>
      <c r="K55" s="3">
        <v>90</v>
      </c>
      <c r="L55" s="3">
        <v>4</v>
      </c>
      <c r="M55" s="3">
        <v>8</v>
      </c>
      <c r="N55" s="3" t="s">
        <v>702</v>
      </c>
      <c r="O55" s="3" t="s">
        <v>704</v>
      </c>
      <c r="P55" s="3" t="s">
        <v>719</v>
      </c>
      <c r="Q55" s="3" t="s">
        <v>716</v>
      </c>
    </row>
    <row r="56" spans="1:17" x14ac:dyDescent="0.3">
      <c r="A56" s="3" t="s">
        <v>69</v>
      </c>
      <c r="B56" s="3" t="s">
        <v>404</v>
      </c>
      <c r="C56" s="3">
        <v>45</v>
      </c>
      <c r="D56" s="3" t="s">
        <v>686</v>
      </c>
      <c r="E56" s="3" t="s">
        <v>691</v>
      </c>
      <c r="F56" s="3" t="s">
        <v>698</v>
      </c>
      <c r="G56" s="4">
        <v>44569</v>
      </c>
      <c r="H56" s="4">
        <v>45191</v>
      </c>
      <c r="I56" s="3">
        <v>11</v>
      </c>
      <c r="J56" s="3">
        <v>69236</v>
      </c>
      <c r="K56" s="3">
        <v>94</v>
      </c>
      <c r="L56" s="3">
        <v>4</v>
      </c>
      <c r="M56" s="3">
        <v>17</v>
      </c>
      <c r="N56" s="3" t="s">
        <v>702</v>
      </c>
      <c r="O56" s="3" t="s">
        <v>704</v>
      </c>
      <c r="P56" s="3" t="s">
        <v>713</v>
      </c>
      <c r="Q56" s="3" t="s">
        <v>718</v>
      </c>
    </row>
    <row r="57" spans="1:17" x14ac:dyDescent="0.3">
      <c r="A57" s="3" t="s">
        <v>70</v>
      </c>
      <c r="B57" s="3" t="s">
        <v>405</v>
      </c>
      <c r="C57" s="3">
        <v>22</v>
      </c>
      <c r="D57" s="3" t="s">
        <v>688</v>
      </c>
      <c r="E57" s="3" t="s">
        <v>695</v>
      </c>
      <c r="F57" s="3" t="s">
        <v>700</v>
      </c>
      <c r="G57" s="4">
        <v>44713</v>
      </c>
      <c r="H57" s="4">
        <v>45766</v>
      </c>
      <c r="I57" s="3">
        <v>12</v>
      </c>
      <c r="J57" s="3">
        <v>54389</v>
      </c>
      <c r="K57" s="3">
        <v>90</v>
      </c>
      <c r="L57" s="3">
        <v>1</v>
      </c>
      <c r="M57" s="3">
        <v>2</v>
      </c>
      <c r="N57" s="3" t="s">
        <v>703</v>
      </c>
      <c r="O57" s="3" t="s">
        <v>704</v>
      </c>
      <c r="P57" s="3" t="s">
        <v>719</v>
      </c>
      <c r="Q57" s="3" t="s">
        <v>718</v>
      </c>
    </row>
    <row r="58" spans="1:17" x14ac:dyDescent="0.3">
      <c r="A58" s="3" t="s">
        <v>71</v>
      </c>
      <c r="B58" s="3" t="s">
        <v>406</v>
      </c>
      <c r="C58" s="3">
        <v>22</v>
      </c>
      <c r="D58" s="3" t="s">
        <v>687</v>
      </c>
      <c r="E58" s="3" t="s">
        <v>691</v>
      </c>
      <c r="F58" s="3" t="s">
        <v>696</v>
      </c>
      <c r="G58" s="4">
        <v>46141</v>
      </c>
      <c r="H58" s="4">
        <v>46142</v>
      </c>
      <c r="I58" s="3">
        <v>5</v>
      </c>
      <c r="J58" s="3">
        <v>87070</v>
      </c>
      <c r="K58" s="3">
        <v>91</v>
      </c>
      <c r="L58" s="3">
        <v>1</v>
      </c>
      <c r="M58" s="3">
        <v>36</v>
      </c>
      <c r="N58" s="3" t="s">
        <v>703</v>
      </c>
      <c r="O58" s="3" t="s">
        <v>704</v>
      </c>
      <c r="P58" s="3" t="s">
        <v>719</v>
      </c>
      <c r="Q58" s="3" t="s">
        <v>714</v>
      </c>
    </row>
    <row r="59" spans="1:17" x14ac:dyDescent="0.3">
      <c r="A59" s="3" t="s">
        <v>72</v>
      </c>
      <c r="B59" s="3" t="s">
        <v>407</v>
      </c>
      <c r="C59" s="3">
        <v>44</v>
      </c>
      <c r="D59" s="3" t="s">
        <v>685</v>
      </c>
      <c r="E59" s="3" t="s">
        <v>695</v>
      </c>
      <c r="F59" s="3" t="s">
        <v>697</v>
      </c>
      <c r="G59" s="4">
        <v>45149</v>
      </c>
      <c r="H59" s="4"/>
      <c r="I59" s="3">
        <v>4</v>
      </c>
      <c r="J59" s="3">
        <v>46465</v>
      </c>
      <c r="K59" s="3">
        <v>100</v>
      </c>
      <c r="L59" s="3">
        <v>3</v>
      </c>
      <c r="M59" s="3">
        <v>6</v>
      </c>
      <c r="N59" s="3" t="s">
        <v>701</v>
      </c>
      <c r="O59" s="3" t="s">
        <v>705</v>
      </c>
      <c r="P59" s="3" t="s">
        <v>713</v>
      </c>
      <c r="Q59" s="3" t="s">
        <v>718</v>
      </c>
    </row>
    <row r="60" spans="1:17" x14ac:dyDescent="0.3">
      <c r="A60" s="3" t="s">
        <v>73</v>
      </c>
      <c r="B60" s="3" t="s">
        <v>408</v>
      </c>
      <c r="C60" s="3">
        <v>57</v>
      </c>
      <c r="D60" s="3" t="s">
        <v>688</v>
      </c>
      <c r="E60" s="3" t="s">
        <v>694</v>
      </c>
      <c r="F60" s="3" t="s">
        <v>698</v>
      </c>
      <c r="G60" s="4">
        <v>44249</v>
      </c>
      <c r="H60" s="4"/>
      <c r="I60" s="3">
        <v>7</v>
      </c>
      <c r="J60" s="3">
        <v>34961</v>
      </c>
      <c r="K60" s="3">
        <v>88</v>
      </c>
      <c r="L60" s="3">
        <v>2</v>
      </c>
      <c r="M60" s="3">
        <v>6</v>
      </c>
      <c r="N60" s="3" t="s">
        <v>701</v>
      </c>
      <c r="O60" s="3" t="s">
        <v>705</v>
      </c>
      <c r="P60" s="3" t="s">
        <v>717</v>
      </c>
      <c r="Q60" s="3" t="s">
        <v>716</v>
      </c>
    </row>
    <row r="61" spans="1:17" x14ac:dyDescent="0.3">
      <c r="A61" s="3" t="s">
        <v>74</v>
      </c>
      <c r="B61" s="3" t="s">
        <v>409</v>
      </c>
      <c r="C61" s="3">
        <v>28</v>
      </c>
      <c r="D61" s="3" t="s">
        <v>687</v>
      </c>
      <c r="E61" s="3" t="s">
        <v>692</v>
      </c>
      <c r="F61" s="3" t="s">
        <v>699</v>
      </c>
      <c r="G61" s="4">
        <v>45779</v>
      </c>
      <c r="H61" s="4"/>
      <c r="I61" s="3">
        <v>18</v>
      </c>
      <c r="J61" s="3">
        <v>81148</v>
      </c>
      <c r="K61" s="3">
        <v>91</v>
      </c>
      <c r="L61" s="3">
        <v>3</v>
      </c>
      <c r="M61" s="3">
        <v>4</v>
      </c>
      <c r="N61" s="3" t="s">
        <v>701</v>
      </c>
      <c r="O61" s="3" t="s">
        <v>705</v>
      </c>
      <c r="P61" s="3" t="s">
        <v>715</v>
      </c>
      <c r="Q61" s="3" t="s">
        <v>714</v>
      </c>
    </row>
    <row r="62" spans="1:17" x14ac:dyDescent="0.3">
      <c r="A62" s="3" t="s">
        <v>75</v>
      </c>
      <c r="B62" s="3" t="s">
        <v>410</v>
      </c>
      <c r="C62" s="3">
        <v>21</v>
      </c>
      <c r="D62" s="3" t="s">
        <v>689</v>
      </c>
      <c r="E62" s="3" t="s">
        <v>694</v>
      </c>
      <c r="F62" s="3" t="s">
        <v>700</v>
      </c>
      <c r="G62" s="4">
        <v>45523</v>
      </c>
      <c r="H62" s="4"/>
      <c r="I62" s="3">
        <v>14</v>
      </c>
      <c r="J62" s="3">
        <v>72472</v>
      </c>
      <c r="K62" s="3">
        <v>90</v>
      </c>
      <c r="L62" s="3">
        <v>4</v>
      </c>
      <c r="M62" s="3">
        <v>9</v>
      </c>
      <c r="N62" s="3" t="s">
        <v>702</v>
      </c>
      <c r="O62" s="3" t="s">
        <v>705</v>
      </c>
      <c r="P62" s="3" t="s">
        <v>719</v>
      </c>
      <c r="Q62" s="3" t="s">
        <v>718</v>
      </c>
    </row>
    <row r="63" spans="1:17" x14ac:dyDescent="0.3">
      <c r="A63" s="3" t="s">
        <v>76</v>
      </c>
      <c r="B63" s="3" t="s">
        <v>411</v>
      </c>
      <c r="C63" s="3">
        <v>55</v>
      </c>
      <c r="D63" s="3" t="s">
        <v>689</v>
      </c>
      <c r="E63" s="3" t="s">
        <v>694</v>
      </c>
      <c r="F63" s="3" t="s">
        <v>698</v>
      </c>
      <c r="G63" s="4">
        <v>44557</v>
      </c>
      <c r="H63" s="4"/>
      <c r="I63" s="3">
        <v>19</v>
      </c>
      <c r="J63" s="3">
        <v>60179</v>
      </c>
      <c r="K63" s="3">
        <v>80</v>
      </c>
      <c r="L63" s="3">
        <v>2</v>
      </c>
      <c r="M63" s="3">
        <v>5</v>
      </c>
      <c r="N63" s="3" t="s">
        <v>702</v>
      </c>
      <c r="O63" s="3" t="s">
        <v>705</v>
      </c>
      <c r="P63" s="3" t="s">
        <v>717</v>
      </c>
      <c r="Q63" s="3" t="s">
        <v>718</v>
      </c>
    </row>
    <row r="64" spans="1:17" x14ac:dyDescent="0.3">
      <c r="A64" s="3" t="s">
        <v>77</v>
      </c>
      <c r="B64" s="3" t="s">
        <v>412</v>
      </c>
      <c r="C64" s="3">
        <v>36</v>
      </c>
      <c r="D64" s="3" t="s">
        <v>689</v>
      </c>
      <c r="E64" s="3" t="s">
        <v>695</v>
      </c>
      <c r="F64" s="3" t="s">
        <v>697</v>
      </c>
      <c r="G64" s="4">
        <v>46002</v>
      </c>
      <c r="H64" s="4"/>
      <c r="I64" s="3">
        <v>13</v>
      </c>
      <c r="J64" s="3">
        <v>69092</v>
      </c>
      <c r="K64" s="3">
        <v>70</v>
      </c>
      <c r="L64" s="3">
        <v>4</v>
      </c>
      <c r="M64" s="3">
        <v>20</v>
      </c>
      <c r="N64" s="3" t="s">
        <v>703</v>
      </c>
      <c r="O64" s="3" t="s">
        <v>705</v>
      </c>
      <c r="P64" s="3" t="s">
        <v>713</v>
      </c>
      <c r="Q64" s="3" t="s">
        <v>718</v>
      </c>
    </row>
    <row r="65" spans="1:17" x14ac:dyDescent="0.3">
      <c r="A65" s="3" t="s">
        <v>78</v>
      </c>
      <c r="B65" s="3" t="s">
        <v>413</v>
      </c>
      <c r="C65" s="3">
        <v>37</v>
      </c>
      <c r="D65" s="3" t="s">
        <v>686</v>
      </c>
      <c r="E65" s="3" t="s">
        <v>693</v>
      </c>
      <c r="F65" s="3" t="s">
        <v>697</v>
      </c>
      <c r="G65" s="4">
        <v>45195</v>
      </c>
      <c r="H65" s="4">
        <v>46011</v>
      </c>
      <c r="I65" s="3">
        <v>9</v>
      </c>
      <c r="J65" s="3">
        <v>97848</v>
      </c>
      <c r="K65" s="3">
        <v>70</v>
      </c>
      <c r="L65" s="3">
        <v>5</v>
      </c>
      <c r="M65" s="3">
        <v>12</v>
      </c>
      <c r="N65" s="3" t="s">
        <v>703</v>
      </c>
      <c r="O65" s="3" t="s">
        <v>704</v>
      </c>
      <c r="P65" s="3" t="s">
        <v>713</v>
      </c>
      <c r="Q65" s="3" t="s">
        <v>714</v>
      </c>
    </row>
    <row r="66" spans="1:17" x14ac:dyDescent="0.3">
      <c r="A66" s="3" t="s">
        <v>79</v>
      </c>
      <c r="B66" s="3" t="s">
        <v>414</v>
      </c>
      <c r="C66" s="3">
        <v>52</v>
      </c>
      <c r="D66" s="3" t="s">
        <v>687</v>
      </c>
      <c r="E66" s="3" t="s">
        <v>691</v>
      </c>
      <c r="F66" s="3" t="s">
        <v>698</v>
      </c>
      <c r="G66" s="4">
        <v>44691</v>
      </c>
      <c r="H66" s="4"/>
      <c r="I66" s="3">
        <v>16</v>
      </c>
      <c r="J66" s="3">
        <v>83743</v>
      </c>
      <c r="K66" s="3">
        <v>95</v>
      </c>
      <c r="L66" s="3">
        <v>1</v>
      </c>
      <c r="M66" s="3">
        <v>5</v>
      </c>
      <c r="N66" s="3" t="s">
        <v>702</v>
      </c>
      <c r="O66" s="3" t="s">
        <v>705</v>
      </c>
      <c r="P66" s="3" t="s">
        <v>717</v>
      </c>
      <c r="Q66" s="3" t="s">
        <v>714</v>
      </c>
    </row>
    <row r="67" spans="1:17" x14ac:dyDescent="0.3">
      <c r="A67" s="3" t="s">
        <v>80</v>
      </c>
      <c r="B67" s="3" t="s">
        <v>415</v>
      </c>
      <c r="C67" s="3">
        <v>36</v>
      </c>
      <c r="D67" s="3" t="s">
        <v>686</v>
      </c>
      <c r="E67" s="3" t="s">
        <v>695</v>
      </c>
      <c r="F67" s="3" t="s">
        <v>699</v>
      </c>
      <c r="G67" s="4">
        <v>44650</v>
      </c>
      <c r="H67" s="4"/>
      <c r="I67" s="3">
        <v>16</v>
      </c>
      <c r="J67" s="3">
        <v>97544</v>
      </c>
      <c r="K67" s="3">
        <v>86</v>
      </c>
      <c r="L67" s="3">
        <v>3</v>
      </c>
      <c r="M67" s="3">
        <v>27</v>
      </c>
      <c r="N67" s="3" t="s">
        <v>701</v>
      </c>
      <c r="O67" s="3" t="s">
        <v>705</v>
      </c>
      <c r="P67" s="3" t="s">
        <v>713</v>
      </c>
      <c r="Q67" s="3" t="s">
        <v>714</v>
      </c>
    </row>
    <row r="68" spans="1:17" x14ac:dyDescent="0.3">
      <c r="A68" s="3" t="s">
        <v>81</v>
      </c>
      <c r="B68" s="3" t="s">
        <v>416</v>
      </c>
      <c r="C68" s="3">
        <v>43</v>
      </c>
      <c r="D68" s="3" t="s">
        <v>688</v>
      </c>
      <c r="E68" s="3" t="s">
        <v>694</v>
      </c>
      <c r="F68" s="3" t="s">
        <v>699</v>
      </c>
      <c r="G68" s="4">
        <v>45324</v>
      </c>
      <c r="H68" s="4"/>
      <c r="I68" s="3">
        <v>10</v>
      </c>
      <c r="J68" s="3">
        <v>57951</v>
      </c>
      <c r="K68" s="3">
        <v>77</v>
      </c>
      <c r="L68" s="3">
        <v>1</v>
      </c>
      <c r="M68" s="3">
        <v>12</v>
      </c>
      <c r="N68" s="3" t="s">
        <v>702</v>
      </c>
      <c r="O68" s="3" t="s">
        <v>705</v>
      </c>
      <c r="P68" s="3" t="s">
        <v>713</v>
      </c>
      <c r="Q68" s="3" t="s">
        <v>718</v>
      </c>
    </row>
    <row r="69" spans="1:17" x14ac:dyDescent="0.3">
      <c r="A69" s="3" t="s">
        <v>82</v>
      </c>
      <c r="B69" s="3" t="s">
        <v>417</v>
      </c>
      <c r="C69" s="3">
        <v>34</v>
      </c>
      <c r="D69" s="3" t="s">
        <v>688</v>
      </c>
      <c r="E69" s="3" t="s">
        <v>694</v>
      </c>
      <c r="F69" s="3" t="s">
        <v>699</v>
      </c>
      <c r="G69" s="4">
        <v>44441</v>
      </c>
      <c r="H69" s="4">
        <v>44923</v>
      </c>
      <c r="I69" s="3">
        <v>19</v>
      </c>
      <c r="J69" s="3">
        <v>93765</v>
      </c>
      <c r="K69" s="3">
        <v>89</v>
      </c>
      <c r="L69" s="3">
        <v>3</v>
      </c>
      <c r="M69" s="3">
        <v>6</v>
      </c>
      <c r="N69" s="3" t="s">
        <v>703</v>
      </c>
      <c r="O69" s="3" t="s">
        <v>704</v>
      </c>
      <c r="P69" s="3" t="s">
        <v>715</v>
      </c>
      <c r="Q69" s="3" t="s">
        <v>714</v>
      </c>
    </row>
    <row r="70" spans="1:17" x14ac:dyDescent="0.3">
      <c r="A70" s="3" t="s">
        <v>83</v>
      </c>
      <c r="B70" s="3" t="s">
        <v>418</v>
      </c>
      <c r="C70" s="3">
        <v>32</v>
      </c>
      <c r="D70" s="3" t="s">
        <v>686</v>
      </c>
      <c r="E70" s="3" t="s">
        <v>692</v>
      </c>
      <c r="F70" s="3" t="s">
        <v>697</v>
      </c>
      <c r="G70" s="4">
        <v>44803</v>
      </c>
      <c r="H70" s="4">
        <v>45632</v>
      </c>
      <c r="I70" s="3">
        <v>5</v>
      </c>
      <c r="J70" s="3">
        <v>60954</v>
      </c>
      <c r="K70" s="3">
        <v>71</v>
      </c>
      <c r="L70" s="3">
        <v>1</v>
      </c>
      <c r="M70" s="3">
        <v>35</v>
      </c>
      <c r="N70" s="3" t="s">
        <v>702</v>
      </c>
      <c r="O70" s="3" t="s">
        <v>704</v>
      </c>
      <c r="P70" s="3" t="s">
        <v>715</v>
      </c>
      <c r="Q70" s="3" t="s">
        <v>718</v>
      </c>
    </row>
    <row r="71" spans="1:17" x14ac:dyDescent="0.3">
      <c r="A71" s="3" t="s">
        <v>84</v>
      </c>
      <c r="B71" s="3" t="s">
        <v>419</v>
      </c>
      <c r="C71" s="3">
        <v>27</v>
      </c>
      <c r="D71" s="3" t="s">
        <v>690</v>
      </c>
      <c r="E71" s="3" t="s">
        <v>695</v>
      </c>
      <c r="F71" s="3" t="s">
        <v>699</v>
      </c>
      <c r="G71" s="4">
        <v>45625</v>
      </c>
      <c r="H71" s="4">
        <v>46142</v>
      </c>
      <c r="I71" s="3">
        <v>16</v>
      </c>
      <c r="J71" s="3">
        <v>87746</v>
      </c>
      <c r="K71" s="3">
        <v>84</v>
      </c>
      <c r="L71" s="3">
        <v>3</v>
      </c>
      <c r="M71" s="3">
        <v>11</v>
      </c>
      <c r="N71" s="3" t="s">
        <v>703</v>
      </c>
      <c r="O71" s="3" t="s">
        <v>704</v>
      </c>
      <c r="P71" s="3" t="s">
        <v>715</v>
      </c>
      <c r="Q71" s="3" t="s">
        <v>714</v>
      </c>
    </row>
    <row r="72" spans="1:17" x14ac:dyDescent="0.3">
      <c r="A72" s="3" t="s">
        <v>85</v>
      </c>
      <c r="B72" s="3" t="s">
        <v>420</v>
      </c>
      <c r="C72" s="3">
        <v>28</v>
      </c>
      <c r="D72" s="3" t="s">
        <v>690</v>
      </c>
      <c r="E72" s="3" t="s">
        <v>694</v>
      </c>
      <c r="F72" s="3" t="s">
        <v>698</v>
      </c>
      <c r="G72" s="4">
        <v>44714</v>
      </c>
      <c r="H72" s="4"/>
      <c r="I72" s="3">
        <v>3</v>
      </c>
      <c r="J72" s="3">
        <v>100631</v>
      </c>
      <c r="K72" s="3">
        <v>90</v>
      </c>
      <c r="L72" s="3">
        <v>1</v>
      </c>
      <c r="M72" s="3">
        <v>9</v>
      </c>
      <c r="N72" s="3" t="s">
        <v>703</v>
      </c>
      <c r="O72" s="3" t="s">
        <v>705</v>
      </c>
      <c r="P72" s="3" t="s">
        <v>715</v>
      </c>
      <c r="Q72" s="3" t="s">
        <v>714</v>
      </c>
    </row>
    <row r="73" spans="1:17" x14ac:dyDescent="0.3">
      <c r="A73" s="3" t="s">
        <v>86</v>
      </c>
      <c r="B73" s="3" t="s">
        <v>421</v>
      </c>
      <c r="C73" s="3">
        <v>26</v>
      </c>
      <c r="D73" s="3" t="s">
        <v>685</v>
      </c>
      <c r="E73" s="3" t="s">
        <v>692</v>
      </c>
      <c r="F73" s="3" t="s">
        <v>697</v>
      </c>
      <c r="G73" s="4">
        <v>45858</v>
      </c>
      <c r="H73" s="4"/>
      <c r="I73" s="3">
        <v>14</v>
      </c>
      <c r="J73" s="3">
        <v>104471</v>
      </c>
      <c r="K73" s="3">
        <v>89</v>
      </c>
      <c r="L73" s="3">
        <v>5</v>
      </c>
      <c r="M73" s="3">
        <v>14</v>
      </c>
      <c r="N73" s="3" t="s">
        <v>701</v>
      </c>
      <c r="O73" s="3" t="s">
        <v>705</v>
      </c>
      <c r="P73" s="3" t="s">
        <v>715</v>
      </c>
      <c r="Q73" s="3" t="s">
        <v>714</v>
      </c>
    </row>
    <row r="74" spans="1:17" x14ac:dyDescent="0.3">
      <c r="A74" s="3" t="s">
        <v>87</v>
      </c>
      <c r="B74" s="3" t="s">
        <v>422</v>
      </c>
      <c r="C74" s="3">
        <v>49</v>
      </c>
      <c r="D74" s="3" t="s">
        <v>686</v>
      </c>
      <c r="E74" s="3" t="s">
        <v>695</v>
      </c>
      <c r="F74" s="3" t="s">
        <v>698</v>
      </c>
      <c r="G74" s="4">
        <v>44976</v>
      </c>
      <c r="H74" s="4"/>
      <c r="I74" s="3">
        <v>10</v>
      </c>
      <c r="J74" s="3">
        <v>99531</v>
      </c>
      <c r="K74" s="3">
        <v>89</v>
      </c>
      <c r="L74" s="3">
        <v>1</v>
      </c>
      <c r="M74" s="3">
        <v>39</v>
      </c>
      <c r="N74" s="3" t="s">
        <v>701</v>
      </c>
      <c r="O74" s="3" t="s">
        <v>705</v>
      </c>
      <c r="P74" s="3" t="s">
        <v>717</v>
      </c>
      <c r="Q74" s="3" t="s">
        <v>714</v>
      </c>
    </row>
    <row r="75" spans="1:17" x14ac:dyDescent="0.3">
      <c r="A75" s="3" t="s">
        <v>88</v>
      </c>
      <c r="B75" s="3" t="s">
        <v>423</v>
      </c>
      <c r="C75" s="3">
        <v>37</v>
      </c>
      <c r="D75" s="3" t="s">
        <v>688</v>
      </c>
      <c r="E75" s="3" t="s">
        <v>692</v>
      </c>
      <c r="F75" s="3" t="s">
        <v>696</v>
      </c>
      <c r="G75" s="4">
        <v>44400</v>
      </c>
      <c r="H75" s="4">
        <v>44922</v>
      </c>
      <c r="I75" s="3">
        <v>8</v>
      </c>
      <c r="J75" s="3">
        <v>47782</v>
      </c>
      <c r="K75" s="3">
        <v>87</v>
      </c>
      <c r="L75" s="3">
        <v>1</v>
      </c>
      <c r="M75" s="3">
        <v>10</v>
      </c>
      <c r="N75" s="3" t="s">
        <v>703</v>
      </c>
      <c r="O75" s="3" t="s">
        <v>704</v>
      </c>
      <c r="P75" s="3" t="s">
        <v>713</v>
      </c>
      <c r="Q75" s="3" t="s">
        <v>718</v>
      </c>
    </row>
    <row r="76" spans="1:17" x14ac:dyDescent="0.3">
      <c r="A76" s="3" t="s">
        <v>89</v>
      </c>
      <c r="B76" s="3" t="s">
        <v>424</v>
      </c>
      <c r="C76" s="3">
        <v>51</v>
      </c>
      <c r="D76" s="3" t="s">
        <v>686</v>
      </c>
      <c r="E76" s="3" t="s">
        <v>692</v>
      </c>
      <c r="F76" s="3" t="s">
        <v>696</v>
      </c>
      <c r="G76" s="4">
        <v>45033</v>
      </c>
      <c r="H76" s="4"/>
      <c r="I76" s="3">
        <v>10</v>
      </c>
      <c r="J76" s="3">
        <v>117662</v>
      </c>
      <c r="K76" s="3">
        <v>79</v>
      </c>
      <c r="L76" s="3">
        <v>4</v>
      </c>
      <c r="M76" s="3">
        <v>4</v>
      </c>
      <c r="N76" s="3" t="s">
        <v>701</v>
      </c>
      <c r="O76" s="3" t="s">
        <v>705</v>
      </c>
      <c r="P76" s="3" t="s">
        <v>717</v>
      </c>
      <c r="Q76" s="3" t="s">
        <v>714</v>
      </c>
    </row>
    <row r="77" spans="1:17" x14ac:dyDescent="0.3">
      <c r="A77" s="3" t="s">
        <v>90</v>
      </c>
      <c r="B77" s="3" t="s">
        <v>425</v>
      </c>
      <c r="C77" s="3">
        <v>58</v>
      </c>
      <c r="D77" s="3" t="s">
        <v>688</v>
      </c>
      <c r="E77" s="3" t="s">
        <v>691</v>
      </c>
      <c r="F77" s="3" t="s">
        <v>698</v>
      </c>
      <c r="G77" s="4">
        <v>44675</v>
      </c>
      <c r="H77" s="4"/>
      <c r="I77" s="3">
        <v>4</v>
      </c>
      <c r="J77" s="3">
        <v>96376</v>
      </c>
      <c r="K77" s="3">
        <v>77</v>
      </c>
      <c r="L77" s="3">
        <v>2</v>
      </c>
      <c r="M77" s="3">
        <v>17</v>
      </c>
      <c r="N77" s="3" t="s">
        <v>703</v>
      </c>
      <c r="O77" s="3" t="s">
        <v>705</v>
      </c>
      <c r="P77" s="3" t="s">
        <v>717</v>
      </c>
      <c r="Q77" s="3" t="s">
        <v>714</v>
      </c>
    </row>
    <row r="78" spans="1:17" x14ac:dyDescent="0.3">
      <c r="A78" s="3" t="s">
        <v>91</v>
      </c>
      <c r="B78" s="3" t="s">
        <v>426</v>
      </c>
      <c r="C78" s="3">
        <v>40</v>
      </c>
      <c r="D78" s="3" t="s">
        <v>687</v>
      </c>
      <c r="E78" s="3" t="s">
        <v>695</v>
      </c>
      <c r="F78" s="3" t="s">
        <v>699</v>
      </c>
      <c r="G78" s="4">
        <v>44343</v>
      </c>
      <c r="H78" s="4">
        <v>44772</v>
      </c>
      <c r="I78" s="3">
        <v>15</v>
      </c>
      <c r="J78" s="3">
        <v>41299</v>
      </c>
      <c r="K78" s="3">
        <v>84</v>
      </c>
      <c r="L78" s="3">
        <v>3</v>
      </c>
      <c r="M78" s="3">
        <v>25</v>
      </c>
      <c r="N78" s="3" t="s">
        <v>702</v>
      </c>
      <c r="O78" s="3" t="s">
        <v>704</v>
      </c>
      <c r="P78" s="3" t="s">
        <v>713</v>
      </c>
      <c r="Q78" s="3" t="s">
        <v>718</v>
      </c>
    </row>
    <row r="79" spans="1:17" x14ac:dyDescent="0.3">
      <c r="A79" s="3" t="s">
        <v>92</v>
      </c>
      <c r="B79" s="3" t="s">
        <v>427</v>
      </c>
      <c r="C79" s="3">
        <v>49</v>
      </c>
      <c r="D79" s="3" t="s">
        <v>690</v>
      </c>
      <c r="E79" s="3" t="s">
        <v>695</v>
      </c>
      <c r="F79" s="3" t="s">
        <v>700</v>
      </c>
      <c r="G79" s="4">
        <v>45221</v>
      </c>
      <c r="H79" s="4"/>
      <c r="I79" s="3">
        <v>14</v>
      </c>
      <c r="J79" s="3">
        <v>67247</v>
      </c>
      <c r="K79" s="3">
        <v>89</v>
      </c>
      <c r="L79" s="3">
        <v>3</v>
      </c>
      <c r="M79" s="3">
        <v>1</v>
      </c>
      <c r="N79" s="3" t="s">
        <v>703</v>
      </c>
      <c r="O79" s="3" t="s">
        <v>705</v>
      </c>
      <c r="P79" s="3" t="s">
        <v>717</v>
      </c>
      <c r="Q79" s="3" t="s">
        <v>718</v>
      </c>
    </row>
    <row r="80" spans="1:17" x14ac:dyDescent="0.3">
      <c r="A80" s="3" t="s">
        <v>93</v>
      </c>
      <c r="B80" s="3" t="s">
        <v>428</v>
      </c>
      <c r="C80" s="3">
        <v>57</v>
      </c>
      <c r="D80" s="3" t="s">
        <v>690</v>
      </c>
      <c r="E80" s="3" t="s">
        <v>691</v>
      </c>
      <c r="F80" s="3" t="s">
        <v>698</v>
      </c>
      <c r="G80" s="4">
        <v>44665</v>
      </c>
      <c r="H80" s="4">
        <v>45306</v>
      </c>
      <c r="I80" s="3">
        <v>17</v>
      </c>
      <c r="J80" s="3">
        <v>110394</v>
      </c>
      <c r="K80" s="3">
        <v>84</v>
      </c>
      <c r="L80" s="3">
        <v>3</v>
      </c>
      <c r="M80" s="3">
        <v>11</v>
      </c>
      <c r="N80" s="3" t="s">
        <v>701</v>
      </c>
      <c r="O80" s="3" t="s">
        <v>704</v>
      </c>
      <c r="P80" s="3" t="s">
        <v>717</v>
      </c>
      <c r="Q80" s="3" t="s">
        <v>714</v>
      </c>
    </row>
    <row r="81" spans="1:17" x14ac:dyDescent="0.3">
      <c r="A81" s="3" t="s">
        <v>94</v>
      </c>
      <c r="B81" s="3" t="s">
        <v>429</v>
      </c>
      <c r="C81" s="3">
        <v>26</v>
      </c>
      <c r="D81" s="3" t="s">
        <v>689</v>
      </c>
      <c r="E81" s="3" t="s">
        <v>693</v>
      </c>
      <c r="F81" s="3" t="s">
        <v>698</v>
      </c>
      <c r="G81" s="4">
        <v>45089</v>
      </c>
      <c r="H81" s="4"/>
      <c r="I81" s="3">
        <v>11</v>
      </c>
      <c r="J81" s="3">
        <v>67081</v>
      </c>
      <c r="K81" s="3">
        <v>91</v>
      </c>
      <c r="L81" s="3">
        <v>1</v>
      </c>
      <c r="M81" s="3">
        <v>10</v>
      </c>
      <c r="N81" s="3" t="s">
        <v>702</v>
      </c>
      <c r="O81" s="3" t="s">
        <v>705</v>
      </c>
      <c r="P81" s="3" t="s">
        <v>715</v>
      </c>
      <c r="Q81" s="3" t="s">
        <v>718</v>
      </c>
    </row>
    <row r="82" spans="1:17" x14ac:dyDescent="0.3">
      <c r="A82" s="3" t="s">
        <v>95</v>
      </c>
      <c r="B82" s="3" t="s">
        <v>430</v>
      </c>
      <c r="C82" s="3">
        <v>39</v>
      </c>
      <c r="D82" s="3" t="s">
        <v>688</v>
      </c>
      <c r="E82" s="3" t="s">
        <v>694</v>
      </c>
      <c r="F82" s="3" t="s">
        <v>697</v>
      </c>
      <c r="G82" s="4">
        <v>45040</v>
      </c>
      <c r="H82" s="4"/>
      <c r="I82" s="3">
        <v>2</v>
      </c>
      <c r="J82" s="3">
        <v>84614</v>
      </c>
      <c r="K82" s="3">
        <v>72</v>
      </c>
      <c r="L82" s="3">
        <v>3</v>
      </c>
      <c r="M82" s="3">
        <v>16</v>
      </c>
      <c r="N82" s="3" t="s">
        <v>702</v>
      </c>
      <c r="O82" s="3" t="s">
        <v>705</v>
      </c>
      <c r="P82" s="3" t="s">
        <v>713</v>
      </c>
      <c r="Q82" s="3" t="s">
        <v>714</v>
      </c>
    </row>
    <row r="83" spans="1:17" x14ac:dyDescent="0.3">
      <c r="A83" s="3" t="s">
        <v>96</v>
      </c>
      <c r="B83" s="3" t="s">
        <v>431</v>
      </c>
      <c r="C83" s="3">
        <v>53</v>
      </c>
      <c r="D83" s="3" t="s">
        <v>690</v>
      </c>
      <c r="E83" s="3" t="s">
        <v>695</v>
      </c>
      <c r="F83" s="3" t="s">
        <v>698</v>
      </c>
      <c r="G83" s="4">
        <v>44434</v>
      </c>
      <c r="H83" s="4"/>
      <c r="I83" s="3">
        <v>14</v>
      </c>
      <c r="J83" s="3">
        <v>32104</v>
      </c>
      <c r="K83" s="3">
        <v>76</v>
      </c>
      <c r="L83" s="3">
        <v>5</v>
      </c>
      <c r="M83" s="3">
        <v>23</v>
      </c>
      <c r="N83" s="3" t="s">
        <v>701</v>
      </c>
      <c r="O83" s="3" t="s">
        <v>705</v>
      </c>
      <c r="P83" s="3" t="s">
        <v>717</v>
      </c>
      <c r="Q83" s="3" t="s">
        <v>716</v>
      </c>
    </row>
    <row r="84" spans="1:17" x14ac:dyDescent="0.3">
      <c r="A84" s="3" t="s">
        <v>97</v>
      </c>
      <c r="B84" s="3" t="s">
        <v>432</v>
      </c>
      <c r="C84" s="3">
        <v>49</v>
      </c>
      <c r="D84" s="3" t="s">
        <v>690</v>
      </c>
      <c r="E84" s="3" t="s">
        <v>691</v>
      </c>
      <c r="F84" s="3" t="s">
        <v>699</v>
      </c>
      <c r="G84" s="4">
        <v>45746</v>
      </c>
      <c r="H84" s="4"/>
      <c r="I84" s="3">
        <v>18</v>
      </c>
      <c r="J84" s="3">
        <v>42172</v>
      </c>
      <c r="K84" s="3">
        <v>99</v>
      </c>
      <c r="L84" s="3">
        <v>3</v>
      </c>
      <c r="M84" s="3">
        <v>28</v>
      </c>
      <c r="N84" s="3" t="s">
        <v>701</v>
      </c>
      <c r="O84" s="3" t="s">
        <v>705</v>
      </c>
      <c r="P84" s="3" t="s">
        <v>717</v>
      </c>
      <c r="Q84" s="3" t="s">
        <v>718</v>
      </c>
    </row>
    <row r="85" spans="1:17" x14ac:dyDescent="0.3">
      <c r="A85" s="3" t="s">
        <v>98</v>
      </c>
      <c r="B85" s="3" t="s">
        <v>433</v>
      </c>
      <c r="C85" s="3">
        <v>36</v>
      </c>
      <c r="D85" s="3" t="s">
        <v>688</v>
      </c>
      <c r="E85" s="3" t="s">
        <v>691</v>
      </c>
      <c r="F85" s="3" t="s">
        <v>699</v>
      </c>
      <c r="G85" s="4">
        <v>45189</v>
      </c>
      <c r="H85" s="4">
        <v>45338</v>
      </c>
      <c r="I85" s="3">
        <v>18</v>
      </c>
      <c r="J85" s="3">
        <v>26792</v>
      </c>
      <c r="K85" s="3">
        <v>87</v>
      </c>
      <c r="L85" s="3">
        <v>4</v>
      </c>
      <c r="M85" s="3">
        <v>5</v>
      </c>
      <c r="N85" s="3" t="s">
        <v>703</v>
      </c>
      <c r="O85" s="3" t="s">
        <v>704</v>
      </c>
      <c r="P85" s="3" t="s">
        <v>713</v>
      </c>
      <c r="Q85" s="3" t="s">
        <v>716</v>
      </c>
    </row>
    <row r="86" spans="1:17" x14ac:dyDescent="0.3">
      <c r="A86" s="3" t="s">
        <v>99</v>
      </c>
      <c r="B86" s="3" t="s">
        <v>434</v>
      </c>
      <c r="C86" s="3">
        <v>28</v>
      </c>
      <c r="D86" s="3" t="s">
        <v>688</v>
      </c>
      <c r="E86" s="3" t="s">
        <v>691</v>
      </c>
      <c r="F86" s="3" t="s">
        <v>698</v>
      </c>
      <c r="G86" s="4">
        <v>45920</v>
      </c>
      <c r="H86" s="4">
        <v>46142</v>
      </c>
      <c r="I86" s="3">
        <v>10</v>
      </c>
      <c r="J86" s="3">
        <v>91698</v>
      </c>
      <c r="K86" s="3">
        <v>92</v>
      </c>
      <c r="L86" s="3">
        <v>3</v>
      </c>
      <c r="M86" s="3">
        <v>26</v>
      </c>
      <c r="N86" s="3" t="s">
        <v>702</v>
      </c>
      <c r="O86" s="3" t="s">
        <v>704</v>
      </c>
      <c r="P86" s="3" t="s">
        <v>715</v>
      </c>
      <c r="Q86" s="3" t="s">
        <v>714</v>
      </c>
    </row>
    <row r="87" spans="1:17" x14ac:dyDescent="0.3">
      <c r="A87" s="3" t="s">
        <v>100</v>
      </c>
      <c r="B87" s="3" t="s">
        <v>435</v>
      </c>
      <c r="C87" s="3">
        <v>56</v>
      </c>
      <c r="D87" s="3" t="s">
        <v>685</v>
      </c>
      <c r="E87" s="3" t="s">
        <v>694</v>
      </c>
      <c r="F87" s="3" t="s">
        <v>696</v>
      </c>
      <c r="G87" s="4">
        <v>45164</v>
      </c>
      <c r="H87" s="4">
        <v>46142</v>
      </c>
      <c r="I87" s="3">
        <v>20</v>
      </c>
      <c r="J87" s="3">
        <v>91616</v>
      </c>
      <c r="K87" s="3">
        <v>93</v>
      </c>
      <c r="L87" s="3">
        <v>2</v>
      </c>
      <c r="M87" s="3">
        <v>4</v>
      </c>
      <c r="N87" s="3" t="s">
        <v>702</v>
      </c>
      <c r="O87" s="3" t="s">
        <v>704</v>
      </c>
      <c r="P87" s="3" t="s">
        <v>717</v>
      </c>
      <c r="Q87" s="3" t="s">
        <v>714</v>
      </c>
    </row>
    <row r="88" spans="1:17" x14ac:dyDescent="0.3">
      <c r="A88" s="3" t="s">
        <v>101</v>
      </c>
      <c r="B88" s="3" t="s">
        <v>436</v>
      </c>
      <c r="C88" s="3">
        <v>42</v>
      </c>
      <c r="D88" s="3" t="s">
        <v>687</v>
      </c>
      <c r="E88" s="3" t="s">
        <v>693</v>
      </c>
      <c r="F88" s="3" t="s">
        <v>700</v>
      </c>
      <c r="G88" s="4">
        <v>45779</v>
      </c>
      <c r="H88" s="4"/>
      <c r="I88" s="3">
        <v>10</v>
      </c>
      <c r="J88" s="3">
        <v>64132</v>
      </c>
      <c r="K88" s="3">
        <v>96</v>
      </c>
      <c r="L88" s="3">
        <v>5</v>
      </c>
      <c r="M88" s="3">
        <v>37</v>
      </c>
      <c r="N88" s="3" t="s">
        <v>701</v>
      </c>
      <c r="O88" s="3" t="s">
        <v>705</v>
      </c>
      <c r="P88" s="3" t="s">
        <v>713</v>
      </c>
      <c r="Q88" s="3" t="s">
        <v>718</v>
      </c>
    </row>
    <row r="89" spans="1:17" x14ac:dyDescent="0.3">
      <c r="A89" s="3" t="s">
        <v>102</v>
      </c>
      <c r="B89" s="3" t="s">
        <v>437</v>
      </c>
      <c r="C89" s="3">
        <v>55</v>
      </c>
      <c r="D89" s="3" t="s">
        <v>689</v>
      </c>
      <c r="E89" s="3" t="s">
        <v>693</v>
      </c>
      <c r="F89" s="3" t="s">
        <v>699</v>
      </c>
      <c r="G89" s="4">
        <v>45199</v>
      </c>
      <c r="H89" s="4">
        <v>46142</v>
      </c>
      <c r="I89" s="3">
        <v>18</v>
      </c>
      <c r="J89" s="3">
        <v>96228</v>
      </c>
      <c r="K89" s="3">
        <v>82</v>
      </c>
      <c r="L89" s="3">
        <v>4</v>
      </c>
      <c r="M89" s="3">
        <v>20</v>
      </c>
      <c r="N89" s="3" t="s">
        <v>703</v>
      </c>
      <c r="O89" s="3" t="s">
        <v>704</v>
      </c>
      <c r="P89" s="3" t="s">
        <v>717</v>
      </c>
      <c r="Q89" s="3" t="s">
        <v>714</v>
      </c>
    </row>
    <row r="90" spans="1:17" x14ac:dyDescent="0.3">
      <c r="A90" s="3" t="s">
        <v>103</v>
      </c>
      <c r="B90" s="3" t="s">
        <v>438</v>
      </c>
      <c r="C90" s="3">
        <v>35</v>
      </c>
      <c r="D90" s="3" t="s">
        <v>689</v>
      </c>
      <c r="E90" s="3" t="s">
        <v>692</v>
      </c>
      <c r="F90" s="3" t="s">
        <v>699</v>
      </c>
      <c r="G90" s="4">
        <v>45625</v>
      </c>
      <c r="H90" s="4">
        <v>46142</v>
      </c>
      <c r="I90" s="3">
        <v>16</v>
      </c>
      <c r="J90" s="3">
        <v>117435</v>
      </c>
      <c r="K90" s="3">
        <v>99</v>
      </c>
      <c r="L90" s="3">
        <v>4</v>
      </c>
      <c r="M90" s="3">
        <v>24</v>
      </c>
      <c r="N90" s="3" t="s">
        <v>701</v>
      </c>
      <c r="O90" s="3" t="s">
        <v>704</v>
      </c>
      <c r="P90" s="3" t="s">
        <v>715</v>
      </c>
      <c r="Q90" s="3" t="s">
        <v>714</v>
      </c>
    </row>
    <row r="91" spans="1:17" x14ac:dyDescent="0.3">
      <c r="A91" s="3" t="s">
        <v>104</v>
      </c>
      <c r="B91" s="3" t="s">
        <v>439</v>
      </c>
      <c r="C91" s="3">
        <v>23</v>
      </c>
      <c r="D91" s="3" t="s">
        <v>685</v>
      </c>
      <c r="E91" s="3" t="s">
        <v>695</v>
      </c>
      <c r="F91" s="3" t="s">
        <v>697</v>
      </c>
      <c r="G91" s="4">
        <v>45819</v>
      </c>
      <c r="H91" s="4">
        <v>46142</v>
      </c>
      <c r="I91" s="3">
        <v>11</v>
      </c>
      <c r="J91" s="3">
        <v>38154</v>
      </c>
      <c r="K91" s="3">
        <v>97</v>
      </c>
      <c r="L91" s="3">
        <v>4</v>
      </c>
      <c r="M91" s="3">
        <v>6</v>
      </c>
      <c r="N91" s="3" t="s">
        <v>701</v>
      </c>
      <c r="O91" s="3" t="s">
        <v>704</v>
      </c>
      <c r="P91" s="3" t="s">
        <v>719</v>
      </c>
      <c r="Q91" s="3" t="s">
        <v>716</v>
      </c>
    </row>
    <row r="92" spans="1:17" x14ac:dyDescent="0.3">
      <c r="A92" s="3" t="s">
        <v>105</v>
      </c>
      <c r="B92" s="3" t="s">
        <v>440</v>
      </c>
      <c r="C92" s="3">
        <v>21</v>
      </c>
      <c r="D92" s="3" t="s">
        <v>688</v>
      </c>
      <c r="E92" s="3" t="s">
        <v>691</v>
      </c>
      <c r="F92" s="3" t="s">
        <v>698</v>
      </c>
      <c r="G92" s="4">
        <v>46061</v>
      </c>
      <c r="H92" s="4"/>
      <c r="I92" s="3">
        <v>5</v>
      </c>
      <c r="J92" s="3">
        <v>34807</v>
      </c>
      <c r="K92" s="3">
        <v>85</v>
      </c>
      <c r="L92" s="3">
        <v>3</v>
      </c>
      <c r="M92" s="3">
        <v>21</v>
      </c>
      <c r="N92" s="3" t="s">
        <v>701</v>
      </c>
      <c r="O92" s="3" t="s">
        <v>705</v>
      </c>
      <c r="P92" s="3" t="s">
        <v>719</v>
      </c>
      <c r="Q92" s="3" t="s">
        <v>716</v>
      </c>
    </row>
    <row r="93" spans="1:17" x14ac:dyDescent="0.3">
      <c r="A93" s="3" t="s">
        <v>106</v>
      </c>
      <c r="B93" s="3" t="s">
        <v>441</v>
      </c>
      <c r="C93" s="3">
        <v>26</v>
      </c>
      <c r="D93" s="3" t="s">
        <v>686</v>
      </c>
      <c r="E93" s="3" t="s">
        <v>695</v>
      </c>
      <c r="F93" s="3" t="s">
        <v>698</v>
      </c>
      <c r="G93" s="4">
        <v>45615</v>
      </c>
      <c r="H93" s="4"/>
      <c r="I93" s="3">
        <v>11</v>
      </c>
      <c r="J93" s="3">
        <v>107155</v>
      </c>
      <c r="K93" s="3">
        <v>92</v>
      </c>
      <c r="L93" s="3">
        <v>4</v>
      </c>
      <c r="M93" s="3">
        <v>34</v>
      </c>
      <c r="N93" s="3" t="s">
        <v>703</v>
      </c>
      <c r="O93" s="3" t="s">
        <v>705</v>
      </c>
      <c r="P93" s="3" t="s">
        <v>715</v>
      </c>
      <c r="Q93" s="3" t="s">
        <v>714</v>
      </c>
    </row>
    <row r="94" spans="1:17" x14ac:dyDescent="0.3">
      <c r="A94" s="3" t="s">
        <v>107</v>
      </c>
      <c r="B94" s="3" t="s">
        <v>442</v>
      </c>
      <c r="C94" s="3">
        <v>39</v>
      </c>
      <c r="D94" s="3" t="s">
        <v>685</v>
      </c>
      <c r="E94" s="3" t="s">
        <v>692</v>
      </c>
      <c r="F94" s="3" t="s">
        <v>698</v>
      </c>
      <c r="G94" s="4">
        <v>45461</v>
      </c>
      <c r="H94" s="4">
        <v>46031</v>
      </c>
      <c r="I94" s="3">
        <v>4</v>
      </c>
      <c r="J94" s="3">
        <v>108066</v>
      </c>
      <c r="K94" s="3">
        <v>92</v>
      </c>
      <c r="L94" s="3">
        <v>1</v>
      </c>
      <c r="M94" s="3">
        <v>28</v>
      </c>
      <c r="N94" s="3" t="s">
        <v>703</v>
      </c>
      <c r="O94" s="3" t="s">
        <v>704</v>
      </c>
      <c r="P94" s="3" t="s">
        <v>713</v>
      </c>
      <c r="Q94" s="3" t="s">
        <v>714</v>
      </c>
    </row>
    <row r="95" spans="1:17" x14ac:dyDescent="0.3">
      <c r="A95" s="3" t="s">
        <v>108</v>
      </c>
      <c r="B95" s="3" t="s">
        <v>443</v>
      </c>
      <c r="C95" s="3">
        <v>22</v>
      </c>
      <c r="D95" s="3" t="s">
        <v>690</v>
      </c>
      <c r="E95" s="3" t="s">
        <v>693</v>
      </c>
      <c r="F95" s="3" t="s">
        <v>700</v>
      </c>
      <c r="G95" s="4">
        <v>45618</v>
      </c>
      <c r="H95" s="4"/>
      <c r="I95" s="3">
        <v>10</v>
      </c>
      <c r="J95" s="3">
        <v>71984</v>
      </c>
      <c r="K95" s="3">
        <v>81</v>
      </c>
      <c r="L95" s="3">
        <v>4</v>
      </c>
      <c r="M95" s="3">
        <v>9</v>
      </c>
      <c r="N95" s="3" t="s">
        <v>703</v>
      </c>
      <c r="O95" s="3" t="s">
        <v>705</v>
      </c>
      <c r="P95" s="3" t="s">
        <v>719</v>
      </c>
      <c r="Q95" s="3" t="s">
        <v>718</v>
      </c>
    </row>
    <row r="96" spans="1:17" x14ac:dyDescent="0.3">
      <c r="A96" s="3" t="s">
        <v>109</v>
      </c>
      <c r="B96" s="3" t="s">
        <v>444</v>
      </c>
      <c r="C96" s="3">
        <v>57</v>
      </c>
      <c r="D96" s="3" t="s">
        <v>688</v>
      </c>
      <c r="E96" s="3" t="s">
        <v>691</v>
      </c>
      <c r="F96" s="3" t="s">
        <v>696</v>
      </c>
      <c r="G96" s="4">
        <v>45284</v>
      </c>
      <c r="H96" s="4"/>
      <c r="I96" s="3">
        <v>6</v>
      </c>
      <c r="J96" s="3">
        <v>35350</v>
      </c>
      <c r="K96" s="3">
        <v>89</v>
      </c>
      <c r="L96" s="3">
        <v>4</v>
      </c>
      <c r="M96" s="3">
        <v>39</v>
      </c>
      <c r="N96" s="3" t="s">
        <v>701</v>
      </c>
      <c r="O96" s="3" t="s">
        <v>705</v>
      </c>
      <c r="P96" s="3" t="s">
        <v>717</v>
      </c>
      <c r="Q96" s="3" t="s">
        <v>716</v>
      </c>
    </row>
    <row r="97" spans="1:17" x14ac:dyDescent="0.3">
      <c r="A97" s="3" t="s">
        <v>110</v>
      </c>
      <c r="B97" s="3" t="s">
        <v>445</v>
      </c>
      <c r="C97" s="3">
        <v>58</v>
      </c>
      <c r="D97" s="3" t="s">
        <v>685</v>
      </c>
      <c r="E97" s="3" t="s">
        <v>691</v>
      </c>
      <c r="F97" s="3" t="s">
        <v>698</v>
      </c>
      <c r="G97" s="4">
        <v>44690</v>
      </c>
      <c r="H97" s="4"/>
      <c r="I97" s="3">
        <v>9</v>
      </c>
      <c r="J97" s="3">
        <v>85236</v>
      </c>
      <c r="K97" s="3">
        <v>78</v>
      </c>
      <c r="L97" s="3">
        <v>1</v>
      </c>
      <c r="M97" s="3">
        <v>29</v>
      </c>
      <c r="N97" s="3" t="s">
        <v>702</v>
      </c>
      <c r="O97" s="3" t="s">
        <v>705</v>
      </c>
      <c r="P97" s="3" t="s">
        <v>717</v>
      </c>
      <c r="Q97" s="3" t="s">
        <v>714</v>
      </c>
    </row>
    <row r="98" spans="1:17" x14ac:dyDescent="0.3">
      <c r="A98" s="3" t="s">
        <v>111</v>
      </c>
      <c r="B98" s="3" t="s">
        <v>446</v>
      </c>
      <c r="C98" s="3">
        <v>49</v>
      </c>
      <c r="D98" s="3" t="s">
        <v>686</v>
      </c>
      <c r="E98" s="3" t="s">
        <v>695</v>
      </c>
      <c r="F98" s="3" t="s">
        <v>699</v>
      </c>
      <c r="G98" s="4">
        <v>45584</v>
      </c>
      <c r="H98" s="4">
        <v>45825</v>
      </c>
      <c r="I98" s="3">
        <v>14</v>
      </c>
      <c r="J98" s="3">
        <v>115480</v>
      </c>
      <c r="K98" s="3">
        <v>78</v>
      </c>
      <c r="L98" s="3">
        <v>4</v>
      </c>
      <c r="M98" s="3">
        <v>19</v>
      </c>
      <c r="N98" s="3" t="s">
        <v>703</v>
      </c>
      <c r="O98" s="3" t="s">
        <v>704</v>
      </c>
      <c r="P98" s="3" t="s">
        <v>717</v>
      </c>
      <c r="Q98" s="3" t="s">
        <v>714</v>
      </c>
    </row>
    <row r="99" spans="1:17" x14ac:dyDescent="0.3">
      <c r="A99" s="3" t="s">
        <v>112</v>
      </c>
      <c r="B99" s="3" t="s">
        <v>447</v>
      </c>
      <c r="C99" s="3">
        <v>27</v>
      </c>
      <c r="D99" s="3" t="s">
        <v>685</v>
      </c>
      <c r="E99" s="3" t="s">
        <v>694</v>
      </c>
      <c r="F99" s="3" t="s">
        <v>697</v>
      </c>
      <c r="G99" s="4">
        <v>44984</v>
      </c>
      <c r="H99" s="4"/>
      <c r="I99" s="3">
        <v>12</v>
      </c>
      <c r="J99" s="3">
        <v>100341</v>
      </c>
      <c r="K99" s="3">
        <v>79</v>
      </c>
      <c r="L99" s="3">
        <v>3</v>
      </c>
      <c r="M99" s="3">
        <v>1</v>
      </c>
      <c r="N99" s="3" t="s">
        <v>701</v>
      </c>
      <c r="O99" s="3" t="s">
        <v>705</v>
      </c>
      <c r="P99" s="3" t="s">
        <v>715</v>
      </c>
      <c r="Q99" s="3" t="s">
        <v>714</v>
      </c>
    </row>
    <row r="100" spans="1:17" x14ac:dyDescent="0.3">
      <c r="A100" s="3" t="s">
        <v>113</v>
      </c>
      <c r="B100" s="3" t="s">
        <v>448</v>
      </c>
      <c r="C100" s="3">
        <v>21</v>
      </c>
      <c r="D100" s="3" t="s">
        <v>687</v>
      </c>
      <c r="E100" s="3" t="s">
        <v>692</v>
      </c>
      <c r="F100" s="3" t="s">
        <v>697</v>
      </c>
      <c r="G100" s="4">
        <v>45007</v>
      </c>
      <c r="H100" s="4"/>
      <c r="I100" s="3">
        <v>16</v>
      </c>
      <c r="J100" s="3">
        <v>62512</v>
      </c>
      <c r="K100" s="3">
        <v>94</v>
      </c>
      <c r="L100" s="3">
        <v>2</v>
      </c>
      <c r="M100" s="3">
        <v>38</v>
      </c>
      <c r="N100" s="3" t="s">
        <v>702</v>
      </c>
      <c r="O100" s="3" t="s">
        <v>705</v>
      </c>
      <c r="P100" s="3" t="s">
        <v>719</v>
      </c>
      <c r="Q100" s="3" t="s">
        <v>718</v>
      </c>
    </row>
    <row r="101" spans="1:17" x14ac:dyDescent="0.3">
      <c r="A101" s="3" t="s">
        <v>114</v>
      </c>
      <c r="B101" s="3" t="s">
        <v>449</v>
      </c>
      <c r="C101" s="3">
        <v>29</v>
      </c>
      <c r="D101" s="3" t="s">
        <v>688</v>
      </c>
      <c r="E101" s="3" t="s">
        <v>692</v>
      </c>
      <c r="F101" s="3" t="s">
        <v>700</v>
      </c>
      <c r="G101" s="4">
        <v>44645</v>
      </c>
      <c r="H101" s="4">
        <v>45248</v>
      </c>
      <c r="I101" s="3">
        <v>10</v>
      </c>
      <c r="J101" s="3">
        <v>82779</v>
      </c>
      <c r="K101" s="3">
        <v>71</v>
      </c>
      <c r="L101" s="3">
        <v>5</v>
      </c>
      <c r="M101" s="3">
        <v>23</v>
      </c>
      <c r="N101" s="3" t="s">
        <v>701</v>
      </c>
      <c r="O101" s="3" t="s">
        <v>704</v>
      </c>
      <c r="P101" s="3" t="s">
        <v>715</v>
      </c>
      <c r="Q101" s="3" t="s">
        <v>714</v>
      </c>
    </row>
    <row r="102" spans="1:17" x14ac:dyDescent="0.3">
      <c r="A102" s="3" t="s">
        <v>115</v>
      </c>
      <c r="B102" s="3" t="s">
        <v>450</v>
      </c>
      <c r="C102" s="3">
        <v>41</v>
      </c>
      <c r="D102" s="3" t="s">
        <v>688</v>
      </c>
      <c r="E102" s="3" t="s">
        <v>694</v>
      </c>
      <c r="F102" s="3" t="s">
        <v>696</v>
      </c>
      <c r="G102" s="4">
        <v>44466</v>
      </c>
      <c r="H102" s="4">
        <v>45160</v>
      </c>
      <c r="I102" s="3">
        <v>7</v>
      </c>
      <c r="J102" s="3">
        <v>42322</v>
      </c>
      <c r="K102" s="3">
        <v>95</v>
      </c>
      <c r="L102" s="3">
        <v>5</v>
      </c>
      <c r="M102" s="3">
        <v>23</v>
      </c>
      <c r="N102" s="3" t="s">
        <v>701</v>
      </c>
      <c r="O102" s="3" t="s">
        <v>704</v>
      </c>
      <c r="P102" s="3" t="s">
        <v>713</v>
      </c>
      <c r="Q102" s="3" t="s">
        <v>718</v>
      </c>
    </row>
    <row r="103" spans="1:17" x14ac:dyDescent="0.3">
      <c r="A103" s="3" t="s">
        <v>116</v>
      </c>
      <c r="B103" s="3" t="s">
        <v>451</v>
      </c>
      <c r="C103" s="3">
        <v>31</v>
      </c>
      <c r="D103" s="3" t="s">
        <v>686</v>
      </c>
      <c r="E103" s="3" t="s">
        <v>694</v>
      </c>
      <c r="F103" s="3" t="s">
        <v>699</v>
      </c>
      <c r="G103" s="4">
        <v>45224</v>
      </c>
      <c r="H103" s="4"/>
      <c r="I103" s="3">
        <v>11</v>
      </c>
      <c r="J103" s="3">
        <v>40095</v>
      </c>
      <c r="K103" s="3">
        <v>84</v>
      </c>
      <c r="L103" s="3">
        <v>1</v>
      </c>
      <c r="M103" s="3">
        <v>9</v>
      </c>
      <c r="N103" s="3" t="s">
        <v>703</v>
      </c>
      <c r="O103" s="3" t="s">
        <v>705</v>
      </c>
      <c r="P103" s="3" t="s">
        <v>715</v>
      </c>
      <c r="Q103" s="3" t="s">
        <v>718</v>
      </c>
    </row>
    <row r="104" spans="1:17" x14ac:dyDescent="0.3">
      <c r="A104" s="3" t="s">
        <v>117</v>
      </c>
      <c r="B104" s="3" t="s">
        <v>452</v>
      </c>
      <c r="C104" s="3">
        <v>56</v>
      </c>
      <c r="D104" s="3" t="s">
        <v>686</v>
      </c>
      <c r="E104" s="3" t="s">
        <v>692</v>
      </c>
      <c r="F104" s="3" t="s">
        <v>698</v>
      </c>
      <c r="G104" s="4">
        <v>45958</v>
      </c>
      <c r="H104" s="4"/>
      <c r="I104" s="3">
        <v>1</v>
      </c>
      <c r="J104" s="3">
        <v>59663</v>
      </c>
      <c r="K104" s="3">
        <v>87</v>
      </c>
      <c r="L104" s="3">
        <v>1</v>
      </c>
      <c r="M104" s="3">
        <v>29</v>
      </c>
      <c r="N104" s="3" t="s">
        <v>702</v>
      </c>
      <c r="O104" s="3" t="s">
        <v>705</v>
      </c>
      <c r="P104" s="3" t="s">
        <v>717</v>
      </c>
      <c r="Q104" s="3" t="s">
        <v>718</v>
      </c>
    </row>
    <row r="105" spans="1:17" x14ac:dyDescent="0.3">
      <c r="A105" s="3" t="s">
        <v>118</v>
      </c>
      <c r="B105" s="3" t="s">
        <v>453</v>
      </c>
      <c r="C105" s="3">
        <v>58</v>
      </c>
      <c r="D105" s="3" t="s">
        <v>689</v>
      </c>
      <c r="E105" s="3" t="s">
        <v>693</v>
      </c>
      <c r="F105" s="3" t="s">
        <v>700</v>
      </c>
      <c r="G105" s="4">
        <v>45574</v>
      </c>
      <c r="H105" s="4"/>
      <c r="I105" s="3">
        <v>8</v>
      </c>
      <c r="J105" s="3">
        <v>86797</v>
      </c>
      <c r="K105" s="3">
        <v>70</v>
      </c>
      <c r="L105" s="3">
        <v>5</v>
      </c>
      <c r="M105" s="3">
        <v>35</v>
      </c>
      <c r="N105" s="3" t="s">
        <v>702</v>
      </c>
      <c r="O105" s="3" t="s">
        <v>705</v>
      </c>
      <c r="P105" s="3" t="s">
        <v>717</v>
      </c>
      <c r="Q105" s="3" t="s">
        <v>714</v>
      </c>
    </row>
    <row r="106" spans="1:17" x14ac:dyDescent="0.3">
      <c r="A106" s="3" t="s">
        <v>119</v>
      </c>
      <c r="B106" s="3" t="s">
        <v>454</v>
      </c>
      <c r="C106" s="3">
        <v>50</v>
      </c>
      <c r="D106" s="3" t="s">
        <v>688</v>
      </c>
      <c r="E106" s="3" t="s">
        <v>693</v>
      </c>
      <c r="F106" s="3" t="s">
        <v>698</v>
      </c>
      <c r="G106" s="4">
        <v>46071</v>
      </c>
      <c r="H106" s="4">
        <v>46142</v>
      </c>
      <c r="I106" s="3">
        <v>4</v>
      </c>
      <c r="J106" s="3">
        <v>43320</v>
      </c>
      <c r="K106" s="3">
        <v>71</v>
      </c>
      <c r="L106" s="3">
        <v>1</v>
      </c>
      <c r="M106" s="3">
        <v>19</v>
      </c>
      <c r="N106" s="3" t="s">
        <v>702</v>
      </c>
      <c r="O106" s="3" t="s">
        <v>704</v>
      </c>
      <c r="P106" s="3" t="s">
        <v>717</v>
      </c>
      <c r="Q106" s="3" t="s">
        <v>718</v>
      </c>
    </row>
    <row r="107" spans="1:17" x14ac:dyDescent="0.3">
      <c r="A107" s="3" t="s">
        <v>120</v>
      </c>
      <c r="B107" s="3" t="s">
        <v>455</v>
      </c>
      <c r="C107" s="3">
        <v>55</v>
      </c>
      <c r="D107" s="3" t="s">
        <v>685</v>
      </c>
      <c r="E107" s="3" t="s">
        <v>694</v>
      </c>
      <c r="F107" s="3" t="s">
        <v>698</v>
      </c>
      <c r="G107" s="4">
        <v>44434</v>
      </c>
      <c r="H107" s="4">
        <v>45004</v>
      </c>
      <c r="I107" s="3">
        <v>12</v>
      </c>
      <c r="J107" s="3">
        <v>112881</v>
      </c>
      <c r="K107" s="3">
        <v>100</v>
      </c>
      <c r="L107" s="3">
        <v>5</v>
      </c>
      <c r="M107" s="3">
        <v>26</v>
      </c>
      <c r="N107" s="3" t="s">
        <v>701</v>
      </c>
      <c r="O107" s="3" t="s">
        <v>704</v>
      </c>
      <c r="P107" s="3" t="s">
        <v>717</v>
      </c>
      <c r="Q107" s="3" t="s">
        <v>714</v>
      </c>
    </row>
    <row r="108" spans="1:17" x14ac:dyDescent="0.3">
      <c r="A108" s="3" t="s">
        <v>121</v>
      </c>
      <c r="B108" s="3" t="s">
        <v>456</v>
      </c>
      <c r="C108" s="3">
        <v>27</v>
      </c>
      <c r="D108" s="3" t="s">
        <v>689</v>
      </c>
      <c r="E108" s="3" t="s">
        <v>695</v>
      </c>
      <c r="F108" s="3" t="s">
        <v>698</v>
      </c>
      <c r="G108" s="4">
        <v>45717</v>
      </c>
      <c r="H108" s="4">
        <v>46142</v>
      </c>
      <c r="I108" s="3">
        <v>9</v>
      </c>
      <c r="J108" s="3">
        <v>29288</v>
      </c>
      <c r="K108" s="3">
        <v>92</v>
      </c>
      <c r="L108" s="3">
        <v>3</v>
      </c>
      <c r="M108" s="3">
        <v>13</v>
      </c>
      <c r="N108" s="3" t="s">
        <v>702</v>
      </c>
      <c r="O108" s="3" t="s">
        <v>704</v>
      </c>
      <c r="P108" s="3" t="s">
        <v>715</v>
      </c>
      <c r="Q108" s="3" t="s">
        <v>716</v>
      </c>
    </row>
    <row r="109" spans="1:17" x14ac:dyDescent="0.3">
      <c r="A109" s="3" t="s">
        <v>122</v>
      </c>
      <c r="B109" s="3" t="s">
        <v>457</v>
      </c>
      <c r="C109" s="3">
        <v>27</v>
      </c>
      <c r="D109" s="3" t="s">
        <v>688</v>
      </c>
      <c r="E109" s="3" t="s">
        <v>693</v>
      </c>
      <c r="F109" s="3" t="s">
        <v>697</v>
      </c>
      <c r="G109" s="4">
        <v>45107</v>
      </c>
      <c r="H109" s="4">
        <v>45939</v>
      </c>
      <c r="I109" s="3">
        <v>12</v>
      </c>
      <c r="J109" s="3">
        <v>32936</v>
      </c>
      <c r="K109" s="3">
        <v>82</v>
      </c>
      <c r="L109" s="3">
        <v>3</v>
      </c>
      <c r="M109" s="3">
        <v>12</v>
      </c>
      <c r="N109" s="3" t="s">
        <v>703</v>
      </c>
      <c r="O109" s="3" t="s">
        <v>704</v>
      </c>
      <c r="P109" s="3" t="s">
        <v>715</v>
      </c>
      <c r="Q109" s="3" t="s">
        <v>716</v>
      </c>
    </row>
    <row r="110" spans="1:17" x14ac:dyDescent="0.3">
      <c r="A110" s="3" t="s">
        <v>123</v>
      </c>
      <c r="B110" s="3" t="s">
        <v>458</v>
      </c>
      <c r="C110" s="3">
        <v>26</v>
      </c>
      <c r="D110" s="3" t="s">
        <v>688</v>
      </c>
      <c r="E110" s="3" t="s">
        <v>691</v>
      </c>
      <c r="F110" s="3" t="s">
        <v>697</v>
      </c>
      <c r="G110" s="4">
        <v>46140</v>
      </c>
      <c r="H110" s="4"/>
      <c r="I110" s="3">
        <v>1</v>
      </c>
      <c r="J110" s="3">
        <v>31629</v>
      </c>
      <c r="K110" s="3">
        <v>95</v>
      </c>
      <c r="L110" s="3">
        <v>3</v>
      </c>
      <c r="M110" s="3">
        <v>15</v>
      </c>
      <c r="N110" s="3" t="s">
        <v>703</v>
      </c>
      <c r="O110" s="3" t="s">
        <v>705</v>
      </c>
      <c r="P110" s="3" t="s">
        <v>715</v>
      </c>
      <c r="Q110" s="3" t="s">
        <v>716</v>
      </c>
    </row>
    <row r="111" spans="1:17" x14ac:dyDescent="0.3">
      <c r="A111" s="3" t="s">
        <v>124</v>
      </c>
      <c r="B111" s="3" t="s">
        <v>459</v>
      </c>
      <c r="C111" s="3">
        <v>56</v>
      </c>
      <c r="D111" s="3" t="s">
        <v>685</v>
      </c>
      <c r="E111" s="3" t="s">
        <v>695</v>
      </c>
      <c r="F111" s="3" t="s">
        <v>696</v>
      </c>
      <c r="G111" s="4">
        <v>45808</v>
      </c>
      <c r="H111" s="4">
        <v>46038</v>
      </c>
      <c r="I111" s="3">
        <v>8</v>
      </c>
      <c r="J111" s="3">
        <v>68064</v>
      </c>
      <c r="K111" s="3">
        <v>94</v>
      </c>
      <c r="L111" s="3">
        <v>2</v>
      </c>
      <c r="M111" s="3">
        <v>38</v>
      </c>
      <c r="N111" s="3" t="s">
        <v>703</v>
      </c>
      <c r="O111" s="3" t="s">
        <v>704</v>
      </c>
      <c r="P111" s="3" t="s">
        <v>717</v>
      </c>
      <c r="Q111" s="3" t="s">
        <v>718</v>
      </c>
    </row>
    <row r="112" spans="1:17" x14ac:dyDescent="0.3">
      <c r="A112" s="3" t="s">
        <v>125</v>
      </c>
      <c r="B112" s="3" t="s">
        <v>460</v>
      </c>
      <c r="C112" s="3">
        <v>55</v>
      </c>
      <c r="D112" s="3" t="s">
        <v>686</v>
      </c>
      <c r="E112" s="3" t="s">
        <v>691</v>
      </c>
      <c r="F112" s="3" t="s">
        <v>700</v>
      </c>
      <c r="G112" s="4">
        <v>44764</v>
      </c>
      <c r="H112" s="4">
        <v>45120</v>
      </c>
      <c r="I112" s="3">
        <v>1</v>
      </c>
      <c r="J112" s="3">
        <v>42275</v>
      </c>
      <c r="K112" s="3">
        <v>70</v>
      </c>
      <c r="L112" s="3">
        <v>3</v>
      </c>
      <c r="M112" s="3">
        <v>15</v>
      </c>
      <c r="N112" s="3" t="s">
        <v>701</v>
      </c>
      <c r="O112" s="3" t="s">
        <v>704</v>
      </c>
      <c r="P112" s="3" t="s">
        <v>717</v>
      </c>
      <c r="Q112" s="3" t="s">
        <v>718</v>
      </c>
    </row>
    <row r="113" spans="1:17" x14ac:dyDescent="0.3">
      <c r="A113" s="3" t="s">
        <v>126</v>
      </c>
      <c r="B113" s="3" t="s">
        <v>461</v>
      </c>
      <c r="C113" s="3">
        <v>37</v>
      </c>
      <c r="D113" s="3" t="s">
        <v>690</v>
      </c>
      <c r="E113" s="3" t="s">
        <v>691</v>
      </c>
      <c r="F113" s="3" t="s">
        <v>698</v>
      </c>
      <c r="G113" s="4">
        <v>44860</v>
      </c>
      <c r="H113" s="4">
        <v>45306</v>
      </c>
      <c r="I113" s="3">
        <v>17</v>
      </c>
      <c r="J113" s="3">
        <v>39896</v>
      </c>
      <c r="K113" s="3">
        <v>93</v>
      </c>
      <c r="L113" s="3">
        <v>1</v>
      </c>
      <c r="M113" s="3">
        <v>30</v>
      </c>
      <c r="N113" s="3" t="s">
        <v>702</v>
      </c>
      <c r="O113" s="3" t="s">
        <v>704</v>
      </c>
      <c r="P113" s="3" t="s">
        <v>713</v>
      </c>
      <c r="Q113" s="3" t="s">
        <v>716</v>
      </c>
    </row>
    <row r="114" spans="1:17" x14ac:dyDescent="0.3">
      <c r="A114" s="3" t="s">
        <v>127</v>
      </c>
      <c r="B114" s="3" t="s">
        <v>462</v>
      </c>
      <c r="C114" s="3">
        <v>53</v>
      </c>
      <c r="D114" s="3" t="s">
        <v>687</v>
      </c>
      <c r="E114" s="3" t="s">
        <v>692</v>
      </c>
      <c r="F114" s="3" t="s">
        <v>698</v>
      </c>
      <c r="G114" s="4">
        <v>45790</v>
      </c>
      <c r="H114" s="4"/>
      <c r="I114" s="3">
        <v>17</v>
      </c>
      <c r="J114" s="3">
        <v>54038</v>
      </c>
      <c r="K114" s="3">
        <v>100</v>
      </c>
      <c r="L114" s="3">
        <v>5</v>
      </c>
      <c r="M114" s="3">
        <v>2</v>
      </c>
      <c r="N114" s="3" t="s">
        <v>701</v>
      </c>
      <c r="O114" s="3" t="s">
        <v>705</v>
      </c>
      <c r="P114" s="3" t="s">
        <v>717</v>
      </c>
      <c r="Q114" s="3" t="s">
        <v>718</v>
      </c>
    </row>
    <row r="115" spans="1:17" x14ac:dyDescent="0.3">
      <c r="A115" s="3" t="s">
        <v>128</v>
      </c>
      <c r="B115" s="3" t="s">
        <v>463</v>
      </c>
      <c r="C115" s="3">
        <v>50</v>
      </c>
      <c r="D115" s="3" t="s">
        <v>688</v>
      </c>
      <c r="E115" s="3" t="s">
        <v>692</v>
      </c>
      <c r="F115" s="3" t="s">
        <v>700</v>
      </c>
      <c r="G115" s="4">
        <v>45801</v>
      </c>
      <c r="H115" s="4"/>
      <c r="I115" s="3">
        <v>16</v>
      </c>
      <c r="J115" s="3">
        <v>77640</v>
      </c>
      <c r="K115" s="3">
        <v>83</v>
      </c>
      <c r="L115" s="3">
        <v>1</v>
      </c>
      <c r="M115" s="3">
        <v>31</v>
      </c>
      <c r="N115" s="3" t="s">
        <v>701</v>
      </c>
      <c r="O115" s="3" t="s">
        <v>705</v>
      </c>
      <c r="P115" s="3" t="s">
        <v>717</v>
      </c>
      <c r="Q115" s="3" t="s">
        <v>718</v>
      </c>
    </row>
    <row r="116" spans="1:17" x14ac:dyDescent="0.3">
      <c r="A116" s="3" t="s">
        <v>129</v>
      </c>
      <c r="B116" s="3" t="s">
        <v>464</v>
      </c>
      <c r="C116" s="3">
        <v>25</v>
      </c>
      <c r="D116" s="3" t="s">
        <v>690</v>
      </c>
      <c r="E116" s="3" t="s">
        <v>693</v>
      </c>
      <c r="F116" s="3" t="s">
        <v>697</v>
      </c>
      <c r="G116" s="4">
        <v>46060</v>
      </c>
      <c r="H116" s="4"/>
      <c r="I116" s="3">
        <v>5</v>
      </c>
      <c r="J116" s="3">
        <v>33609</v>
      </c>
      <c r="K116" s="3">
        <v>74</v>
      </c>
      <c r="L116" s="3">
        <v>3</v>
      </c>
      <c r="M116" s="3">
        <v>39</v>
      </c>
      <c r="N116" s="3" t="s">
        <v>701</v>
      </c>
      <c r="O116" s="3" t="s">
        <v>705</v>
      </c>
      <c r="P116" s="3" t="s">
        <v>719</v>
      </c>
      <c r="Q116" s="3" t="s">
        <v>716</v>
      </c>
    </row>
    <row r="117" spans="1:17" x14ac:dyDescent="0.3">
      <c r="A117" s="3" t="s">
        <v>130</v>
      </c>
      <c r="B117" s="3" t="s">
        <v>465</v>
      </c>
      <c r="C117" s="3">
        <v>45</v>
      </c>
      <c r="D117" s="3" t="s">
        <v>687</v>
      </c>
      <c r="E117" s="3" t="s">
        <v>695</v>
      </c>
      <c r="F117" s="3" t="s">
        <v>699</v>
      </c>
      <c r="G117" s="4">
        <v>45395</v>
      </c>
      <c r="H117" s="4"/>
      <c r="I117" s="3">
        <v>15</v>
      </c>
      <c r="J117" s="3">
        <v>91263</v>
      </c>
      <c r="K117" s="3">
        <v>89</v>
      </c>
      <c r="L117" s="3">
        <v>4</v>
      </c>
      <c r="M117" s="3">
        <v>6</v>
      </c>
      <c r="N117" s="3" t="s">
        <v>701</v>
      </c>
      <c r="O117" s="3" t="s">
        <v>705</v>
      </c>
      <c r="P117" s="3" t="s">
        <v>713</v>
      </c>
      <c r="Q117" s="3" t="s">
        <v>714</v>
      </c>
    </row>
    <row r="118" spans="1:17" x14ac:dyDescent="0.3">
      <c r="A118" s="3" t="s">
        <v>131</v>
      </c>
      <c r="B118" s="3" t="s">
        <v>466</v>
      </c>
      <c r="C118" s="3">
        <v>49</v>
      </c>
      <c r="D118" s="3" t="s">
        <v>685</v>
      </c>
      <c r="E118" s="3" t="s">
        <v>694</v>
      </c>
      <c r="F118" s="3" t="s">
        <v>699</v>
      </c>
      <c r="G118" s="4">
        <v>44431</v>
      </c>
      <c r="H118" s="4">
        <v>45401</v>
      </c>
      <c r="I118" s="3">
        <v>15</v>
      </c>
      <c r="J118" s="3">
        <v>77262</v>
      </c>
      <c r="K118" s="3">
        <v>83</v>
      </c>
      <c r="L118" s="3">
        <v>1</v>
      </c>
      <c r="M118" s="3">
        <v>20</v>
      </c>
      <c r="N118" s="3" t="s">
        <v>702</v>
      </c>
      <c r="O118" s="3" t="s">
        <v>704</v>
      </c>
      <c r="P118" s="3" t="s">
        <v>717</v>
      </c>
      <c r="Q118" s="3" t="s">
        <v>718</v>
      </c>
    </row>
    <row r="119" spans="1:17" x14ac:dyDescent="0.3">
      <c r="A119" s="3" t="s">
        <v>132</v>
      </c>
      <c r="B119" s="3" t="s">
        <v>467</v>
      </c>
      <c r="C119" s="3">
        <v>44</v>
      </c>
      <c r="D119" s="3" t="s">
        <v>685</v>
      </c>
      <c r="E119" s="3" t="s">
        <v>694</v>
      </c>
      <c r="F119" s="3" t="s">
        <v>700</v>
      </c>
      <c r="G119" s="4">
        <v>44837</v>
      </c>
      <c r="H119" s="4"/>
      <c r="I119" s="3">
        <v>3</v>
      </c>
      <c r="J119" s="3">
        <v>36188</v>
      </c>
      <c r="K119" s="3">
        <v>72</v>
      </c>
      <c r="L119" s="3">
        <v>4</v>
      </c>
      <c r="M119" s="3">
        <v>6</v>
      </c>
      <c r="N119" s="3" t="s">
        <v>701</v>
      </c>
      <c r="O119" s="3" t="s">
        <v>705</v>
      </c>
      <c r="P119" s="3" t="s">
        <v>713</v>
      </c>
      <c r="Q119" s="3" t="s">
        <v>716</v>
      </c>
    </row>
    <row r="120" spans="1:17" x14ac:dyDescent="0.3">
      <c r="A120" s="3" t="s">
        <v>133</v>
      </c>
      <c r="B120" s="3" t="s">
        <v>468</v>
      </c>
      <c r="C120" s="3">
        <v>29</v>
      </c>
      <c r="D120" s="3" t="s">
        <v>687</v>
      </c>
      <c r="E120" s="3" t="s">
        <v>692</v>
      </c>
      <c r="F120" s="3" t="s">
        <v>697</v>
      </c>
      <c r="G120" s="4">
        <v>45710</v>
      </c>
      <c r="H120" s="4"/>
      <c r="I120" s="3">
        <v>18</v>
      </c>
      <c r="J120" s="3">
        <v>98620</v>
      </c>
      <c r="K120" s="3">
        <v>80</v>
      </c>
      <c r="L120" s="3">
        <v>1</v>
      </c>
      <c r="M120" s="3">
        <v>26</v>
      </c>
      <c r="N120" s="3" t="s">
        <v>702</v>
      </c>
      <c r="O120" s="3" t="s">
        <v>705</v>
      </c>
      <c r="P120" s="3" t="s">
        <v>715</v>
      </c>
      <c r="Q120" s="3" t="s">
        <v>714</v>
      </c>
    </row>
    <row r="121" spans="1:17" x14ac:dyDescent="0.3">
      <c r="A121" s="3" t="s">
        <v>134</v>
      </c>
      <c r="B121" s="3" t="s">
        <v>469</v>
      </c>
      <c r="C121" s="3">
        <v>24</v>
      </c>
      <c r="D121" s="3" t="s">
        <v>686</v>
      </c>
      <c r="E121" s="3" t="s">
        <v>695</v>
      </c>
      <c r="F121" s="3" t="s">
        <v>699</v>
      </c>
      <c r="G121" s="4">
        <v>45986</v>
      </c>
      <c r="H121" s="4"/>
      <c r="I121" s="3">
        <v>12</v>
      </c>
      <c r="J121" s="3">
        <v>38579</v>
      </c>
      <c r="K121" s="3">
        <v>88</v>
      </c>
      <c r="L121" s="3">
        <v>5</v>
      </c>
      <c r="M121" s="3">
        <v>13</v>
      </c>
      <c r="N121" s="3" t="s">
        <v>703</v>
      </c>
      <c r="O121" s="3" t="s">
        <v>705</v>
      </c>
      <c r="P121" s="3" t="s">
        <v>719</v>
      </c>
      <c r="Q121" s="3" t="s">
        <v>716</v>
      </c>
    </row>
    <row r="122" spans="1:17" x14ac:dyDescent="0.3">
      <c r="A122" s="3" t="s">
        <v>135</v>
      </c>
      <c r="B122" s="3" t="s">
        <v>470</v>
      </c>
      <c r="C122" s="3">
        <v>35</v>
      </c>
      <c r="D122" s="3" t="s">
        <v>690</v>
      </c>
      <c r="E122" s="3" t="s">
        <v>693</v>
      </c>
      <c r="F122" s="3" t="s">
        <v>697</v>
      </c>
      <c r="G122" s="4">
        <v>45541</v>
      </c>
      <c r="H122" s="4"/>
      <c r="I122" s="3">
        <v>12</v>
      </c>
      <c r="J122" s="3">
        <v>40058</v>
      </c>
      <c r="K122" s="3">
        <v>94</v>
      </c>
      <c r="L122" s="3">
        <v>3</v>
      </c>
      <c r="M122" s="3">
        <v>36</v>
      </c>
      <c r="N122" s="3" t="s">
        <v>703</v>
      </c>
      <c r="O122" s="3" t="s">
        <v>705</v>
      </c>
      <c r="P122" s="3" t="s">
        <v>715</v>
      </c>
      <c r="Q122" s="3" t="s">
        <v>718</v>
      </c>
    </row>
    <row r="123" spans="1:17" x14ac:dyDescent="0.3">
      <c r="A123" s="3" t="s">
        <v>136</v>
      </c>
      <c r="B123" s="3" t="s">
        <v>471</v>
      </c>
      <c r="C123" s="3">
        <v>56</v>
      </c>
      <c r="D123" s="3" t="s">
        <v>687</v>
      </c>
      <c r="E123" s="3" t="s">
        <v>695</v>
      </c>
      <c r="F123" s="3" t="s">
        <v>697</v>
      </c>
      <c r="G123" s="4">
        <v>45850</v>
      </c>
      <c r="H123" s="4"/>
      <c r="I123" s="3">
        <v>1</v>
      </c>
      <c r="J123" s="3">
        <v>104822</v>
      </c>
      <c r="K123" s="3">
        <v>99</v>
      </c>
      <c r="L123" s="3">
        <v>3</v>
      </c>
      <c r="M123" s="3">
        <v>1</v>
      </c>
      <c r="N123" s="3" t="s">
        <v>703</v>
      </c>
      <c r="O123" s="3" t="s">
        <v>705</v>
      </c>
      <c r="P123" s="3" t="s">
        <v>717</v>
      </c>
      <c r="Q123" s="3" t="s">
        <v>714</v>
      </c>
    </row>
    <row r="124" spans="1:17" x14ac:dyDescent="0.3">
      <c r="A124" s="3" t="s">
        <v>137</v>
      </c>
      <c r="B124" s="3" t="s">
        <v>472</v>
      </c>
      <c r="C124" s="3">
        <v>42</v>
      </c>
      <c r="D124" s="3" t="s">
        <v>686</v>
      </c>
      <c r="E124" s="3" t="s">
        <v>692</v>
      </c>
      <c r="F124" s="3" t="s">
        <v>696</v>
      </c>
      <c r="G124" s="4">
        <v>44756</v>
      </c>
      <c r="H124" s="4"/>
      <c r="I124" s="3">
        <v>5</v>
      </c>
      <c r="J124" s="3">
        <v>99228</v>
      </c>
      <c r="K124" s="3">
        <v>91</v>
      </c>
      <c r="L124" s="3">
        <v>4</v>
      </c>
      <c r="M124" s="3">
        <v>4</v>
      </c>
      <c r="N124" s="3" t="s">
        <v>703</v>
      </c>
      <c r="O124" s="3" t="s">
        <v>705</v>
      </c>
      <c r="P124" s="3" t="s">
        <v>713</v>
      </c>
      <c r="Q124" s="3" t="s">
        <v>714</v>
      </c>
    </row>
    <row r="125" spans="1:17" x14ac:dyDescent="0.3">
      <c r="A125" s="3" t="s">
        <v>138</v>
      </c>
      <c r="B125" s="3" t="s">
        <v>473</v>
      </c>
      <c r="C125" s="3">
        <v>54</v>
      </c>
      <c r="D125" s="3" t="s">
        <v>685</v>
      </c>
      <c r="E125" s="3" t="s">
        <v>694</v>
      </c>
      <c r="F125" s="3" t="s">
        <v>698</v>
      </c>
      <c r="G125" s="4">
        <v>45714</v>
      </c>
      <c r="H125" s="4">
        <v>45991</v>
      </c>
      <c r="I125" s="3">
        <v>15</v>
      </c>
      <c r="J125" s="3">
        <v>69681</v>
      </c>
      <c r="K125" s="3">
        <v>75</v>
      </c>
      <c r="L125" s="3">
        <v>3</v>
      </c>
      <c r="M125" s="3">
        <v>19</v>
      </c>
      <c r="N125" s="3" t="s">
        <v>701</v>
      </c>
      <c r="O125" s="3" t="s">
        <v>704</v>
      </c>
      <c r="P125" s="3" t="s">
        <v>717</v>
      </c>
      <c r="Q125" s="3" t="s">
        <v>718</v>
      </c>
    </row>
    <row r="126" spans="1:17" x14ac:dyDescent="0.3">
      <c r="A126" s="3" t="s">
        <v>139</v>
      </c>
      <c r="B126" s="3" t="s">
        <v>474</v>
      </c>
      <c r="C126" s="3">
        <v>30</v>
      </c>
      <c r="D126" s="3" t="s">
        <v>685</v>
      </c>
      <c r="E126" s="3" t="s">
        <v>695</v>
      </c>
      <c r="F126" s="3" t="s">
        <v>700</v>
      </c>
      <c r="G126" s="4">
        <v>44861</v>
      </c>
      <c r="H126" s="4">
        <v>45058</v>
      </c>
      <c r="I126" s="3">
        <v>3</v>
      </c>
      <c r="J126" s="3">
        <v>60665</v>
      </c>
      <c r="K126" s="3">
        <v>84</v>
      </c>
      <c r="L126" s="3">
        <v>4</v>
      </c>
      <c r="M126" s="3">
        <v>31</v>
      </c>
      <c r="N126" s="3" t="s">
        <v>701</v>
      </c>
      <c r="O126" s="3" t="s">
        <v>704</v>
      </c>
      <c r="P126" s="3" t="s">
        <v>715</v>
      </c>
      <c r="Q126" s="3" t="s">
        <v>718</v>
      </c>
    </row>
    <row r="127" spans="1:17" x14ac:dyDescent="0.3">
      <c r="A127" s="3" t="s">
        <v>140</v>
      </c>
      <c r="B127" s="3" t="s">
        <v>475</v>
      </c>
      <c r="C127" s="3">
        <v>38</v>
      </c>
      <c r="D127" s="3" t="s">
        <v>685</v>
      </c>
      <c r="E127" s="3" t="s">
        <v>695</v>
      </c>
      <c r="F127" s="3" t="s">
        <v>700</v>
      </c>
      <c r="G127" s="4">
        <v>45102</v>
      </c>
      <c r="H127" s="4"/>
      <c r="I127" s="3">
        <v>12</v>
      </c>
      <c r="J127" s="3">
        <v>81349</v>
      </c>
      <c r="K127" s="3">
        <v>73</v>
      </c>
      <c r="L127" s="3">
        <v>3</v>
      </c>
      <c r="M127" s="3">
        <v>37</v>
      </c>
      <c r="N127" s="3" t="s">
        <v>702</v>
      </c>
      <c r="O127" s="3" t="s">
        <v>705</v>
      </c>
      <c r="P127" s="3" t="s">
        <v>713</v>
      </c>
      <c r="Q127" s="3" t="s">
        <v>714</v>
      </c>
    </row>
    <row r="128" spans="1:17" x14ac:dyDescent="0.3">
      <c r="A128" s="3" t="s">
        <v>141</v>
      </c>
      <c r="B128" s="3" t="s">
        <v>476</v>
      </c>
      <c r="C128" s="3">
        <v>23</v>
      </c>
      <c r="D128" s="3" t="s">
        <v>685</v>
      </c>
      <c r="E128" s="3" t="s">
        <v>694</v>
      </c>
      <c r="F128" s="3" t="s">
        <v>697</v>
      </c>
      <c r="G128" s="4">
        <v>45276</v>
      </c>
      <c r="H128" s="4"/>
      <c r="I128" s="3">
        <v>2</v>
      </c>
      <c r="J128" s="3">
        <v>26007</v>
      </c>
      <c r="K128" s="3">
        <v>76</v>
      </c>
      <c r="L128" s="3">
        <v>3</v>
      </c>
      <c r="M128" s="3">
        <v>13</v>
      </c>
      <c r="N128" s="3" t="s">
        <v>703</v>
      </c>
      <c r="O128" s="3" t="s">
        <v>705</v>
      </c>
      <c r="P128" s="3" t="s">
        <v>719</v>
      </c>
      <c r="Q128" s="3" t="s">
        <v>716</v>
      </c>
    </row>
    <row r="129" spans="1:17" x14ac:dyDescent="0.3">
      <c r="A129" s="3" t="s">
        <v>142</v>
      </c>
      <c r="B129" s="3" t="s">
        <v>477</v>
      </c>
      <c r="C129" s="3">
        <v>39</v>
      </c>
      <c r="D129" s="3" t="s">
        <v>686</v>
      </c>
      <c r="E129" s="3" t="s">
        <v>692</v>
      </c>
      <c r="F129" s="3" t="s">
        <v>700</v>
      </c>
      <c r="G129" s="4">
        <v>45762</v>
      </c>
      <c r="H129" s="4"/>
      <c r="I129" s="3">
        <v>16</v>
      </c>
      <c r="J129" s="3">
        <v>81446</v>
      </c>
      <c r="K129" s="3">
        <v>75</v>
      </c>
      <c r="L129" s="3">
        <v>2</v>
      </c>
      <c r="M129" s="3">
        <v>24</v>
      </c>
      <c r="N129" s="3" t="s">
        <v>701</v>
      </c>
      <c r="O129" s="3" t="s">
        <v>705</v>
      </c>
      <c r="P129" s="3" t="s">
        <v>713</v>
      </c>
      <c r="Q129" s="3" t="s">
        <v>714</v>
      </c>
    </row>
    <row r="130" spans="1:17" x14ac:dyDescent="0.3">
      <c r="A130" s="3" t="s">
        <v>143</v>
      </c>
      <c r="B130" s="3" t="s">
        <v>478</v>
      </c>
      <c r="C130" s="3">
        <v>56</v>
      </c>
      <c r="D130" s="3" t="s">
        <v>688</v>
      </c>
      <c r="E130" s="3" t="s">
        <v>693</v>
      </c>
      <c r="F130" s="3" t="s">
        <v>700</v>
      </c>
      <c r="G130" s="4">
        <v>45638</v>
      </c>
      <c r="H130" s="4">
        <v>46142</v>
      </c>
      <c r="I130" s="3">
        <v>13</v>
      </c>
      <c r="J130" s="3">
        <v>30544</v>
      </c>
      <c r="K130" s="3">
        <v>83</v>
      </c>
      <c r="L130" s="3">
        <v>1</v>
      </c>
      <c r="M130" s="3">
        <v>29</v>
      </c>
      <c r="N130" s="3" t="s">
        <v>703</v>
      </c>
      <c r="O130" s="3" t="s">
        <v>704</v>
      </c>
      <c r="P130" s="3" t="s">
        <v>717</v>
      </c>
      <c r="Q130" s="3" t="s">
        <v>716</v>
      </c>
    </row>
    <row r="131" spans="1:17" x14ac:dyDescent="0.3">
      <c r="A131" s="3" t="s">
        <v>144</v>
      </c>
      <c r="B131" s="3" t="s">
        <v>479</v>
      </c>
      <c r="C131" s="3">
        <v>57</v>
      </c>
      <c r="D131" s="3" t="s">
        <v>689</v>
      </c>
      <c r="E131" s="3" t="s">
        <v>695</v>
      </c>
      <c r="F131" s="3" t="s">
        <v>698</v>
      </c>
      <c r="G131" s="4">
        <v>45962</v>
      </c>
      <c r="H131" s="4"/>
      <c r="I131" s="3">
        <v>14</v>
      </c>
      <c r="J131" s="3">
        <v>62947</v>
      </c>
      <c r="K131" s="3">
        <v>73</v>
      </c>
      <c r="L131" s="3">
        <v>4</v>
      </c>
      <c r="M131" s="3">
        <v>1</v>
      </c>
      <c r="N131" s="3" t="s">
        <v>702</v>
      </c>
      <c r="O131" s="3" t="s">
        <v>705</v>
      </c>
      <c r="P131" s="3" t="s">
        <v>717</v>
      </c>
      <c r="Q131" s="3" t="s">
        <v>718</v>
      </c>
    </row>
    <row r="132" spans="1:17" x14ac:dyDescent="0.3">
      <c r="A132" s="3" t="s">
        <v>145</v>
      </c>
      <c r="B132" s="3" t="s">
        <v>480</v>
      </c>
      <c r="C132" s="3">
        <v>44</v>
      </c>
      <c r="D132" s="3" t="s">
        <v>690</v>
      </c>
      <c r="E132" s="3" t="s">
        <v>694</v>
      </c>
      <c r="F132" s="3" t="s">
        <v>700</v>
      </c>
      <c r="G132" s="4">
        <v>44548</v>
      </c>
      <c r="H132" s="4"/>
      <c r="I132" s="3">
        <v>8</v>
      </c>
      <c r="J132" s="3">
        <v>82104</v>
      </c>
      <c r="K132" s="3">
        <v>88</v>
      </c>
      <c r="L132" s="3">
        <v>4</v>
      </c>
      <c r="M132" s="3">
        <v>33</v>
      </c>
      <c r="N132" s="3" t="s">
        <v>703</v>
      </c>
      <c r="O132" s="3" t="s">
        <v>705</v>
      </c>
      <c r="P132" s="3" t="s">
        <v>713</v>
      </c>
      <c r="Q132" s="3" t="s">
        <v>714</v>
      </c>
    </row>
    <row r="133" spans="1:17" x14ac:dyDescent="0.3">
      <c r="A133" s="3" t="s">
        <v>146</v>
      </c>
      <c r="B133" s="3" t="s">
        <v>481</v>
      </c>
      <c r="C133" s="3">
        <v>42</v>
      </c>
      <c r="D133" s="3" t="s">
        <v>685</v>
      </c>
      <c r="E133" s="3" t="s">
        <v>693</v>
      </c>
      <c r="F133" s="3" t="s">
        <v>696</v>
      </c>
      <c r="G133" s="4">
        <v>45007</v>
      </c>
      <c r="H133" s="4"/>
      <c r="I133" s="3">
        <v>3</v>
      </c>
      <c r="J133" s="3">
        <v>91910</v>
      </c>
      <c r="K133" s="3">
        <v>90</v>
      </c>
      <c r="L133" s="3">
        <v>1</v>
      </c>
      <c r="M133" s="3">
        <v>33</v>
      </c>
      <c r="N133" s="3" t="s">
        <v>701</v>
      </c>
      <c r="O133" s="3" t="s">
        <v>705</v>
      </c>
      <c r="P133" s="3" t="s">
        <v>713</v>
      </c>
      <c r="Q133" s="3" t="s">
        <v>714</v>
      </c>
    </row>
    <row r="134" spans="1:17" x14ac:dyDescent="0.3">
      <c r="A134" s="3" t="s">
        <v>147</v>
      </c>
      <c r="B134" s="3" t="s">
        <v>482</v>
      </c>
      <c r="C134" s="3">
        <v>43</v>
      </c>
      <c r="D134" s="3" t="s">
        <v>688</v>
      </c>
      <c r="E134" s="3" t="s">
        <v>691</v>
      </c>
      <c r="F134" s="3" t="s">
        <v>696</v>
      </c>
      <c r="G134" s="4">
        <v>44594</v>
      </c>
      <c r="H134" s="4"/>
      <c r="I134" s="3">
        <v>4</v>
      </c>
      <c r="J134" s="3">
        <v>44194</v>
      </c>
      <c r="K134" s="3">
        <v>78</v>
      </c>
      <c r="L134" s="3">
        <v>2</v>
      </c>
      <c r="M134" s="3">
        <v>11</v>
      </c>
      <c r="N134" s="3" t="s">
        <v>701</v>
      </c>
      <c r="O134" s="3" t="s">
        <v>705</v>
      </c>
      <c r="P134" s="3" t="s">
        <v>713</v>
      </c>
      <c r="Q134" s="3" t="s">
        <v>718</v>
      </c>
    </row>
    <row r="135" spans="1:17" x14ac:dyDescent="0.3">
      <c r="A135" s="3" t="s">
        <v>148</v>
      </c>
      <c r="B135" s="3" t="s">
        <v>483</v>
      </c>
      <c r="C135" s="3">
        <v>52</v>
      </c>
      <c r="D135" s="3" t="s">
        <v>689</v>
      </c>
      <c r="E135" s="3" t="s">
        <v>695</v>
      </c>
      <c r="F135" s="3" t="s">
        <v>697</v>
      </c>
      <c r="G135" s="4">
        <v>44510</v>
      </c>
      <c r="H135" s="4">
        <v>44962</v>
      </c>
      <c r="I135" s="3">
        <v>15</v>
      </c>
      <c r="J135" s="3">
        <v>114277</v>
      </c>
      <c r="K135" s="3">
        <v>99</v>
      </c>
      <c r="L135" s="3">
        <v>5</v>
      </c>
      <c r="M135" s="3">
        <v>40</v>
      </c>
      <c r="N135" s="3" t="s">
        <v>701</v>
      </c>
      <c r="O135" s="3" t="s">
        <v>704</v>
      </c>
      <c r="P135" s="3" t="s">
        <v>717</v>
      </c>
      <c r="Q135" s="3" t="s">
        <v>714</v>
      </c>
    </row>
    <row r="136" spans="1:17" x14ac:dyDescent="0.3">
      <c r="A136" s="3" t="s">
        <v>149</v>
      </c>
      <c r="B136" s="3" t="s">
        <v>484</v>
      </c>
      <c r="C136" s="3">
        <v>30</v>
      </c>
      <c r="D136" s="3" t="s">
        <v>689</v>
      </c>
      <c r="E136" s="3" t="s">
        <v>692</v>
      </c>
      <c r="F136" s="3" t="s">
        <v>698</v>
      </c>
      <c r="G136" s="4">
        <v>44858</v>
      </c>
      <c r="H136" s="4"/>
      <c r="I136" s="3">
        <v>15</v>
      </c>
      <c r="J136" s="3">
        <v>107756</v>
      </c>
      <c r="K136" s="3">
        <v>79</v>
      </c>
      <c r="L136" s="3">
        <v>3</v>
      </c>
      <c r="M136" s="3">
        <v>37</v>
      </c>
      <c r="N136" s="3" t="s">
        <v>703</v>
      </c>
      <c r="O136" s="3" t="s">
        <v>705</v>
      </c>
      <c r="P136" s="3" t="s">
        <v>715</v>
      </c>
      <c r="Q136" s="3" t="s">
        <v>714</v>
      </c>
    </row>
    <row r="137" spans="1:17" x14ac:dyDescent="0.3">
      <c r="A137" s="3" t="s">
        <v>150</v>
      </c>
      <c r="B137" s="3" t="s">
        <v>485</v>
      </c>
      <c r="C137" s="3">
        <v>50</v>
      </c>
      <c r="D137" s="3" t="s">
        <v>689</v>
      </c>
      <c r="E137" s="3" t="s">
        <v>692</v>
      </c>
      <c r="F137" s="3" t="s">
        <v>700</v>
      </c>
      <c r="G137" s="4">
        <v>44917</v>
      </c>
      <c r="H137" s="4">
        <v>45642</v>
      </c>
      <c r="I137" s="3">
        <v>12</v>
      </c>
      <c r="J137" s="3">
        <v>62627</v>
      </c>
      <c r="K137" s="3">
        <v>72</v>
      </c>
      <c r="L137" s="3">
        <v>1</v>
      </c>
      <c r="M137" s="3">
        <v>39</v>
      </c>
      <c r="N137" s="3" t="s">
        <v>701</v>
      </c>
      <c r="O137" s="3" t="s">
        <v>704</v>
      </c>
      <c r="P137" s="3" t="s">
        <v>717</v>
      </c>
      <c r="Q137" s="3" t="s">
        <v>718</v>
      </c>
    </row>
    <row r="138" spans="1:17" x14ac:dyDescent="0.3">
      <c r="A138" s="3" t="s">
        <v>151</v>
      </c>
      <c r="B138" s="3" t="s">
        <v>486</v>
      </c>
      <c r="C138" s="3">
        <v>50</v>
      </c>
      <c r="D138" s="3" t="s">
        <v>687</v>
      </c>
      <c r="E138" s="3" t="s">
        <v>695</v>
      </c>
      <c r="F138" s="3" t="s">
        <v>700</v>
      </c>
      <c r="G138" s="4">
        <v>45235</v>
      </c>
      <c r="H138" s="4"/>
      <c r="I138" s="3">
        <v>15</v>
      </c>
      <c r="J138" s="3">
        <v>99928</v>
      </c>
      <c r="K138" s="3">
        <v>90</v>
      </c>
      <c r="L138" s="3">
        <v>2</v>
      </c>
      <c r="M138" s="3">
        <v>20</v>
      </c>
      <c r="N138" s="3" t="s">
        <v>701</v>
      </c>
      <c r="O138" s="3" t="s">
        <v>705</v>
      </c>
      <c r="P138" s="3" t="s">
        <v>717</v>
      </c>
      <c r="Q138" s="3" t="s">
        <v>714</v>
      </c>
    </row>
    <row r="139" spans="1:17" x14ac:dyDescent="0.3">
      <c r="A139" s="3" t="s">
        <v>152</v>
      </c>
      <c r="B139" s="3" t="s">
        <v>487</v>
      </c>
      <c r="C139" s="3">
        <v>49</v>
      </c>
      <c r="D139" s="3" t="s">
        <v>690</v>
      </c>
      <c r="E139" s="3" t="s">
        <v>693</v>
      </c>
      <c r="F139" s="3" t="s">
        <v>700</v>
      </c>
      <c r="G139" s="4">
        <v>45171</v>
      </c>
      <c r="H139" s="4">
        <v>45387</v>
      </c>
      <c r="I139" s="3">
        <v>17</v>
      </c>
      <c r="J139" s="3">
        <v>109689</v>
      </c>
      <c r="K139" s="3">
        <v>75</v>
      </c>
      <c r="L139" s="3">
        <v>1</v>
      </c>
      <c r="M139" s="3">
        <v>15</v>
      </c>
      <c r="N139" s="3" t="s">
        <v>701</v>
      </c>
      <c r="O139" s="3" t="s">
        <v>704</v>
      </c>
      <c r="P139" s="3" t="s">
        <v>717</v>
      </c>
      <c r="Q139" s="3" t="s">
        <v>714</v>
      </c>
    </row>
    <row r="140" spans="1:17" x14ac:dyDescent="0.3">
      <c r="A140" s="3" t="s">
        <v>153</v>
      </c>
      <c r="B140" s="3" t="s">
        <v>488</v>
      </c>
      <c r="C140" s="3">
        <v>54</v>
      </c>
      <c r="D140" s="3" t="s">
        <v>687</v>
      </c>
      <c r="E140" s="3" t="s">
        <v>695</v>
      </c>
      <c r="F140" s="3" t="s">
        <v>696</v>
      </c>
      <c r="G140" s="4">
        <v>45093</v>
      </c>
      <c r="H140" s="4"/>
      <c r="I140" s="3">
        <v>12</v>
      </c>
      <c r="J140" s="3">
        <v>73870</v>
      </c>
      <c r="K140" s="3">
        <v>99</v>
      </c>
      <c r="L140" s="3">
        <v>3</v>
      </c>
      <c r="M140" s="3">
        <v>24</v>
      </c>
      <c r="N140" s="3" t="s">
        <v>702</v>
      </c>
      <c r="O140" s="3" t="s">
        <v>705</v>
      </c>
      <c r="P140" s="3" t="s">
        <v>717</v>
      </c>
      <c r="Q140" s="3" t="s">
        <v>718</v>
      </c>
    </row>
    <row r="141" spans="1:17" x14ac:dyDescent="0.3">
      <c r="A141" s="3" t="s">
        <v>154</v>
      </c>
      <c r="B141" s="3" t="s">
        <v>489</v>
      </c>
      <c r="C141" s="3">
        <v>24</v>
      </c>
      <c r="D141" s="3" t="s">
        <v>688</v>
      </c>
      <c r="E141" s="3" t="s">
        <v>693</v>
      </c>
      <c r="F141" s="3" t="s">
        <v>700</v>
      </c>
      <c r="G141" s="4">
        <v>45783</v>
      </c>
      <c r="H141" s="4"/>
      <c r="I141" s="3">
        <v>11</v>
      </c>
      <c r="J141" s="3">
        <v>37387</v>
      </c>
      <c r="K141" s="3">
        <v>87</v>
      </c>
      <c r="L141" s="3">
        <v>4</v>
      </c>
      <c r="M141" s="3">
        <v>18</v>
      </c>
      <c r="N141" s="3" t="s">
        <v>702</v>
      </c>
      <c r="O141" s="3" t="s">
        <v>705</v>
      </c>
      <c r="P141" s="3" t="s">
        <v>719</v>
      </c>
      <c r="Q141" s="3" t="s">
        <v>716</v>
      </c>
    </row>
    <row r="142" spans="1:17" x14ac:dyDescent="0.3">
      <c r="A142" s="3" t="s">
        <v>155</v>
      </c>
      <c r="B142" s="3" t="s">
        <v>490</v>
      </c>
      <c r="C142" s="3">
        <v>26</v>
      </c>
      <c r="D142" s="3" t="s">
        <v>687</v>
      </c>
      <c r="E142" s="3" t="s">
        <v>691</v>
      </c>
      <c r="F142" s="3" t="s">
        <v>699</v>
      </c>
      <c r="G142" s="4">
        <v>45679</v>
      </c>
      <c r="H142" s="4">
        <v>46142</v>
      </c>
      <c r="I142" s="3">
        <v>10</v>
      </c>
      <c r="J142" s="3">
        <v>110990</v>
      </c>
      <c r="K142" s="3">
        <v>92</v>
      </c>
      <c r="L142" s="3">
        <v>4</v>
      </c>
      <c r="M142" s="3">
        <v>8</v>
      </c>
      <c r="N142" s="3" t="s">
        <v>701</v>
      </c>
      <c r="O142" s="3" t="s">
        <v>704</v>
      </c>
      <c r="P142" s="3" t="s">
        <v>715</v>
      </c>
      <c r="Q142" s="3" t="s">
        <v>714</v>
      </c>
    </row>
    <row r="143" spans="1:17" x14ac:dyDescent="0.3">
      <c r="A143" s="3" t="s">
        <v>156</v>
      </c>
      <c r="B143" s="3" t="s">
        <v>491</v>
      </c>
      <c r="C143" s="3">
        <v>56</v>
      </c>
      <c r="D143" s="3" t="s">
        <v>689</v>
      </c>
      <c r="E143" s="3" t="s">
        <v>693</v>
      </c>
      <c r="F143" s="3" t="s">
        <v>696</v>
      </c>
      <c r="G143" s="4">
        <v>45648</v>
      </c>
      <c r="H143" s="4">
        <v>46142</v>
      </c>
      <c r="I143" s="3">
        <v>17</v>
      </c>
      <c r="J143" s="3">
        <v>37249</v>
      </c>
      <c r="K143" s="3">
        <v>90</v>
      </c>
      <c r="L143" s="3">
        <v>4</v>
      </c>
      <c r="M143" s="3">
        <v>32</v>
      </c>
      <c r="N143" s="3" t="s">
        <v>702</v>
      </c>
      <c r="O143" s="3" t="s">
        <v>704</v>
      </c>
      <c r="P143" s="3" t="s">
        <v>717</v>
      </c>
      <c r="Q143" s="3" t="s">
        <v>716</v>
      </c>
    </row>
    <row r="144" spans="1:17" x14ac:dyDescent="0.3">
      <c r="A144" s="3" t="s">
        <v>157</v>
      </c>
      <c r="B144" s="3" t="s">
        <v>492</v>
      </c>
      <c r="C144" s="3">
        <v>40</v>
      </c>
      <c r="D144" s="3" t="s">
        <v>685</v>
      </c>
      <c r="E144" s="3" t="s">
        <v>691</v>
      </c>
      <c r="F144" s="3" t="s">
        <v>699</v>
      </c>
      <c r="G144" s="4">
        <v>44234</v>
      </c>
      <c r="H144" s="4"/>
      <c r="I144" s="3">
        <v>16</v>
      </c>
      <c r="J144" s="3">
        <v>50166</v>
      </c>
      <c r="K144" s="3">
        <v>77</v>
      </c>
      <c r="L144" s="3">
        <v>2</v>
      </c>
      <c r="M144" s="3">
        <v>9</v>
      </c>
      <c r="N144" s="3" t="s">
        <v>703</v>
      </c>
      <c r="O144" s="3" t="s">
        <v>705</v>
      </c>
      <c r="P144" s="3" t="s">
        <v>713</v>
      </c>
      <c r="Q144" s="3" t="s">
        <v>718</v>
      </c>
    </row>
    <row r="145" spans="1:17" x14ac:dyDescent="0.3">
      <c r="A145" s="3" t="s">
        <v>158</v>
      </c>
      <c r="B145" s="3" t="s">
        <v>493</v>
      </c>
      <c r="C145" s="3">
        <v>55</v>
      </c>
      <c r="D145" s="3" t="s">
        <v>688</v>
      </c>
      <c r="E145" s="3" t="s">
        <v>695</v>
      </c>
      <c r="F145" s="3" t="s">
        <v>700</v>
      </c>
      <c r="G145" s="4">
        <v>44802</v>
      </c>
      <c r="H145" s="4">
        <v>45931</v>
      </c>
      <c r="I145" s="3">
        <v>11</v>
      </c>
      <c r="J145" s="3">
        <v>106006</v>
      </c>
      <c r="K145" s="3">
        <v>74</v>
      </c>
      <c r="L145" s="3">
        <v>5</v>
      </c>
      <c r="M145" s="3">
        <v>24</v>
      </c>
      <c r="N145" s="3" t="s">
        <v>703</v>
      </c>
      <c r="O145" s="3" t="s">
        <v>704</v>
      </c>
      <c r="P145" s="3" t="s">
        <v>717</v>
      </c>
      <c r="Q145" s="3" t="s">
        <v>714</v>
      </c>
    </row>
    <row r="146" spans="1:17" x14ac:dyDescent="0.3">
      <c r="A146" s="3" t="s">
        <v>159</v>
      </c>
      <c r="B146" s="3" t="s">
        <v>494</v>
      </c>
      <c r="C146" s="3">
        <v>49</v>
      </c>
      <c r="D146" s="3" t="s">
        <v>690</v>
      </c>
      <c r="E146" s="3" t="s">
        <v>694</v>
      </c>
      <c r="F146" s="3" t="s">
        <v>699</v>
      </c>
      <c r="G146" s="4">
        <v>44529</v>
      </c>
      <c r="H146" s="4">
        <v>44958</v>
      </c>
      <c r="I146" s="3">
        <v>8</v>
      </c>
      <c r="J146" s="3">
        <v>83222</v>
      </c>
      <c r="K146" s="3">
        <v>89</v>
      </c>
      <c r="L146" s="3">
        <v>3</v>
      </c>
      <c r="M146" s="3">
        <v>28</v>
      </c>
      <c r="N146" s="3" t="s">
        <v>703</v>
      </c>
      <c r="O146" s="3" t="s">
        <v>704</v>
      </c>
      <c r="P146" s="3" t="s">
        <v>717</v>
      </c>
      <c r="Q146" s="3" t="s">
        <v>714</v>
      </c>
    </row>
    <row r="147" spans="1:17" x14ac:dyDescent="0.3">
      <c r="A147" s="3" t="s">
        <v>160</v>
      </c>
      <c r="B147" s="3" t="s">
        <v>495</v>
      </c>
      <c r="C147" s="3">
        <v>51</v>
      </c>
      <c r="D147" s="3" t="s">
        <v>685</v>
      </c>
      <c r="E147" s="3" t="s">
        <v>693</v>
      </c>
      <c r="F147" s="3" t="s">
        <v>697</v>
      </c>
      <c r="G147" s="4">
        <v>45290</v>
      </c>
      <c r="H147" s="4">
        <v>46013</v>
      </c>
      <c r="I147" s="3">
        <v>15</v>
      </c>
      <c r="J147" s="3">
        <v>85513</v>
      </c>
      <c r="K147" s="3">
        <v>94</v>
      </c>
      <c r="L147" s="3">
        <v>3</v>
      </c>
      <c r="M147" s="3">
        <v>24</v>
      </c>
      <c r="N147" s="3" t="s">
        <v>701</v>
      </c>
      <c r="O147" s="3" t="s">
        <v>704</v>
      </c>
      <c r="P147" s="3" t="s">
        <v>717</v>
      </c>
      <c r="Q147" s="3" t="s">
        <v>714</v>
      </c>
    </row>
    <row r="148" spans="1:17" x14ac:dyDescent="0.3">
      <c r="A148" s="3" t="s">
        <v>161</v>
      </c>
      <c r="B148" s="3" t="s">
        <v>496</v>
      </c>
      <c r="C148" s="3">
        <v>31</v>
      </c>
      <c r="D148" s="3" t="s">
        <v>685</v>
      </c>
      <c r="E148" s="3" t="s">
        <v>695</v>
      </c>
      <c r="F148" s="3" t="s">
        <v>696</v>
      </c>
      <c r="G148" s="4">
        <v>45277</v>
      </c>
      <c r="H148" s="4"/>
      <c r="I148" s="3">
        <v>9</v>
      </c>
      <c r="J148" s="3">
        <v>31839</v>
      </c>
      <c r="K148" s="3">
        <v>90</v>
      </c>
      <c r="L148" s="3">
        <v>4</v>
      </c>
      <c r="M148" s="3">
        <v>23</v>
      </c>
      <c r="N148" s="3" t="s">
        <v>701</v>
      </c>
      <c r="O148" s="3" t="s">
        <v>705</v>
      </c>
      <c r="P148" s="3" t="s">
        <v>715</v>
      </c>
      <c r="Q148" s="3" t="s">
        <v>716</v>
      </c>
    </row>
    <row r="149" spans="1:17" x14ac:dyDescent="0.3">
      <c r="A149" s="3" t="s">
        <v>162</v>
      </c>
      <c r="B149" s="3" t="s">
        <v>497</v>
      </c>
      <c r="C149" s="3">
        <v>28</v>
      </c>
      <c r="D149" s="3" t="s">
        <v>686</v>
      </c>
      <c r="E149" s="3" t="s">
        <v>692</v>
      </c>
      <c r="F149" s="3" t="s">
        <v>696</v>
      </c>
      <c r="G149" s="4">
        <v>46110</v>
      </c>
      <c r="H149" s="4">
        <v>46142</v>
      </c>
      <c r="I149" s="3">
        <v>9</v>
      </c>
      <c r="J149" s="3">
        <v>83893</v>
      </c>
      <c r="K149" s="3">
        <v>98</v>
      </c>
      <c r="L149" s="3">
        <v>5</v>
      </c>
      <c r="M149" s="3">
        <v>9</v>
      </c>
      <c r="N149" s="3" t="s">
        <v>702</v>
      </c>
      <c r="O149" s="3" t="s">
        <v>704</v>
      </c>
      <c r="P149" s="3" t="s">
        <v>715</v>
      </c>
      <c r="Q149" s="3" t="s">
        <v>714</v>
      </c>
    </row>
    <row r="150" spans="1:17" x14ac:dyDescent="0.3">
      <c r="A150" s="3" t="s">
        <v>163</v>
      </c>
      <c r="B150" s="3" t="s">
        <v>498</v>
      </c>
      <c r="C150" s="3">
        <v>43</v>
      </c>
      <c r="D150" s="3" t="s">
        <v>690</v>
      </c>
      <c r="E150" s="3" t="s">
        <v>694</v>
      </c>
      <c r="F150" s="3" t="s">
        <v>700</v>
      </c>
      <c r="G150" s="4">
        <v>44384</v>
      </c>
      <c r="H150" s="4">
        <v>45397</v>
      </c>
      <c r="I150" s="3">
        <v>13</v>
      </c>
      <c r="J150" s="3">
        <v>90799</v>
      </c>
      <c r="K150" s="3">
        <v>81</v>
      </c>
      <c r="L150" s="3">
        <v>2</v>
      </c>
      <c r="M150" s="3">
        <v>24</v>
      </c>
      <c r="N150" s="3" t="s">
        <v>703</v>
      </c>
      <c r="O150" s="3" t="s">
        <v>704</v>
      </c>
      <c r="P150" s="3" t="s">
        <v>713</v>
      </c>
      <c r="Q150" s="3" t="s">
        <v>714</v>
      </c>
    </row>
    <row r="151" spans="1:17" x14ac:dyDescent="0.3">
      <c r="A151" s="3" t="s">
        <v>164</v>
      </c>
      <c r="B151" s="3" t="s">
        <v>499</v>
      </c>
      <c r="C151" s="3">
        <v>41</v>
      </c>
      <c r="D151" s="3" t="s">
        <v>690</v>
      </c>
      <c r="E151" s="3" t="s">
        <v>693</v>
      </c>
      <c r="F151" s="3" t="s">
        <v>696</v>
      </c>
      <c r="G151" s="4">
        <v>44964</v>
      </c>
      <c r="H151" s="4">
        <v>45111</v>
      </c>
      <c r="I151" s="3">
        <v>5</v>
      </c>
      <c r="J151" s="3">
        <v>30020</v>
      </c>
      <c r="K151" s="3">
        <v>79</v>
      </c>
      <c r="L151" s="3">
        <v>4</v>
      </c>
      <c r="M151" s="3">
        <v>8</v>
      </c>
      <c r="N151" s="3" t="s">
        <v>701</v>
      </c>
      <c r="O151" s="3" t="s">
        <v>704</v>
      </c>
      <c r="P151" s="3" t="s">
        <v>713</v>
      </c>
      <c r="Q151" s="3" t="s">
        <v>716</v>
      </c>
    </row>
    <row r="152" spans="1:17" x14ac:dyDescent="0.3">
      <c r="A152" s="3" t="s">
        <v>165</v>
      </c>
      <c r="B152" s="3" t="s">
        <v>500</v>
      </c>
      <c r="C152" s="3">
        <v>21</v>
      </c>
      <c r="D152" s="3" t="s">
        <v>690</v>
      </c>
      <c r="E152" s="3" t="s">
        <v>692</v>
      </c>
      <c r="F152" s="3" t="s">
        <v>699</v>
      </c>
      <c r="G152" s="4">
        <v>45157</v>
      </c>
      <c r="H152" s="4"/>
      <c r="I152" s="3">
        <v>7</v>
      </c>
      <c r="J152" s="3">
        <v>44597</v>
      </c>
      <c r="K152" s="3">
        <v>87</v>
      </c>
      <c r="L152" s="3">
        <v>5</v>
      </c>
      <c r="M152" s="3">
        <v>33</v>
      </c>
      <c r="N152" s="3" t="s">
        <v>702</v>
      </c>
      <c r="O152" s="3" t="s">
        <v>705</v>
      </c>
      <c r="P152" s="3" t="s">
        <v>719</v>
      </c>
      <c r="Q152" s="3" t="s">
        <v>718</v>
      </c>
    </row>
    <row r="153" spans="1:17" x14ac:dyDescent="0.3">
      <c r="A153" s="3" t="s">
        <v>166</v>
      </c>
      <c r="B153" s="3" t="s">
        <v>501</v>
      </c>
      <c r="C153" s="3">
        <v>36</v>
      </c>
      <c r="D153" s="3" t="s">
        <v>686</v>
      </c>
      <c r="E153" s="3" t="s">
        <v>692</v>
      </c>
      <c r="F153" s="3" t="s">
        <v>700</v>
      </c>
      <c r="G153" s="4">
        <v>44424</v>
      </c>
      <c r="H153" s="4"/>
      <c r="I153" s="3">
        <v>8</v>
      </c>
      <c r="J153" s="3">
        <v>80027</v>
      </c>
      <c r="K153" s="3">
        <v>90</v>
      </c>
      <c r="L153" s="3">
        <v>5</v>
      </c>
      <c r="M153" s="3">
        <v>29</v>
      </c>
      <c r="N153" s="3" t="s">
        <v>703</v>
      </c>
      <c r="O153" s="3" t="s">
        <v>705</v>
      </c>
      <c r="P153" s="3" t="s">
        <v>713</v>
      </c>
      <c r="Q153" s="3" t="s">
        <v>714</v>
      </c>
    </row>
    <row r="154" spans="1:17" x14ac:dyDescent="0.3">
      <c r="A154" s="3" t="s">
        <v>167</v>
      </c>
      <c r="B154" s="3" t="s">
        <v>502</v>
      </c>
      <c r="C154" s="3">
        <v>55</v>
      </c>
      <c r="D154" s="3" t="s">
        <v>690</v>
      </c>
      <c r="E154" s="3" t="s">
        <v>695</v>
      </c>
      <c r="F154" s="3" t="s">
        <v>697</v>
      </c>
      <c r="G154" s="4">
        <v>44424</v>
      </c>
      <c r="H154" s="4"/>
      <c r="I154" s="3">
        <v>8</v>
      </c>
      <c r="J154" s="3">
        <v>119181</v>
      </c>
      <c r="K154" s="3">
        <v>74</v>
      </c>
      <c r="L154" s="3">
        <v>3</v>
      </c>
      <c r="M154" s="3">
        <v>27</v>
      </c>
      <c r="N154" s="3" t="s">
        <v>703</v>
      </c>
      <c r="O154" s="3" t="s">
        <v>705</v>
      </c>
      <c r="P154" s="3" t="s">
        <v>717</v>
      </c>
      <c r="Q154" s="3" t="s">
        <v>714</v>
      </c>
    </row>
    <row r="155" spans="1:17" x14ac:dyDescent="0.3">
      <c r="A155" s="3" t="s">
        <v>168</v>
      </c>
      <c r="B155" s="3" t="s">
        <v>503</v>
      </c>
      <c r="C155" s="3">
        <v>36</v>
      </c>
      <c r="D155" s="3" t="s">
        <v>687</v>
      </c>
      <c r="E155" s="3" t="s">
        <v>694</v>
      </c>
      <c r="F155" s="3" t="s">
        <v>696</v>
      </c>
      <c r="G155" s="4">
        <v>45456</v>
      </c>
      <c r="H155" s="4"/>
      <c r="I155" s="3">
        <v>3</v>
      </c>
      <c r="J155" s="3">
        <v>93614</v>
      </c>
      <c r="K155" s="3">
        <v>81</v>
      </c>
      <c r="L155" s="3">
        <v>1</v>
      </c>
      <c r="M155" s="3">
        <v>33</v>
      </c>
      <c r="N155" s="3" t="s">
        <v>701</v>
      </c>
      <c r="O155" s="3" t="s">
        <v>705</v>
      </c>
      <c r="P155" s="3" t="s">
        <v>713</v>
      </c>
      <c r="Q155" s="3" t="s">
        <v>714</v>
      </c>
    </row>
    <row r="156" spans="1:17" x14ac:dyDescent="0.3">
      <c r="A156" s="3" t="s">
        <v>169</v>
      </c>
      <c r="B156" s="3" t="s">
        <v>504</v>
      </c>
      <c r="C156" s="3">
        <v>51</v>
      </c>
      <c r="D156" s="3" t="s">
        <v>690</v>
      </c>
      <c r="E156" s="3" t="s">
        <v>694</v>
      </c>
      <c r="F156" s="3" t="s">
        <v>699</v>
      </c>
      <c r="G156" s="4">
        <v>45236</v>
      </c>
      <c r="H156" s="4">
        <v>46125</v>
      </c>
      <c r="I156" s="3">
        <v>9</v>
      </c>
      <c r="J156" s="3">
        <v>27128</v>
      </c>
      <c r="K156" s="3">
        <v>81</v>
      </c>
      <c r="L156" s="3">
        <v>1</v>
      </c>
      <c r="M156" s="3">
        <v>22</v>
      </c>
      <c r="N156" s="3" t="s">
        <v>703</v>
      </c>
      <c r="O156" s="3" t="s">
        <v>704</v>
      </c>
      <c r="P156" s="3" t="s">
        <v>717</v>
      </c>
      <c r="Q156" s="3" t="s">
        <v>716</v>
      </c>
    </row>
    <row r="157" spans="1:17" x14ac:dyDescent="0.3">
      <c r="A157" s="3" t="s">
        <v>170</v>
      </c>
      <c r="B157" s="3" t="s">
        <v>505</v>
      </c>
      <c r="C157" s="3">
        <v>29</v>
      </c>
      <c r="D157" s="3" t="s">
        <v>690</v>
      </c>
      <c r="E157" s="3" t="s">
        <v>693</v>
      </c>
      <c r="F157" s="3" t="s">
        <v>697</v>
      </c>
      <c r="G157" s="4">
        <v>45698</v>
      </c>
      <c r="H157" s="4">
        <v>46142</v>
      </c>
      <c r="I157" s="3">
        <v>11</v>
      </c>
      <c r="J157" s="3">
        <v>109252</v>
      </c>
      <c r="K157" s="3">
        <v>75</v>
      </c>
      <c r="L157" s="3">
        <v>4</v>
      </c>
      <c r="M157" s="3">
        <v>30</v>
      </c>
      <c r="N157" s="3" t="s">
        <v>701</v>
      </c>
      <c r="O157" s="3" t="s">
        <v>704</v>
      </c>
      <c r="P157" s="3" t="s">
        <v>715</v>
      </c>
      <c r="Q157" s="3" t="s">
        <v>714</v>
      </c>
    </row>
    <row r="158" spans="1:17" x14ac:dyDescent="0.3">
      <c r="A158" s="3" t="s">
        <v>171</v>
      </c>
      <c r="B158" s="3" t="s">
        <v>506</v>
      </c>
      <c r="C158" s="3">
        <v>50</v>
      </c>
      <c r="D158" s="3" t="s">
        <v>690</v>
      </c>
      <c r="E158" s="3" t="s">
        <v>693</v>
      </c>
      <c r="F158" s="3" t="s">
        <v>696</v>
      </c>
      <c r="G158" s="4">
        <v>44570</v>
      </c>
      <c r="H158" s="4">
        <v>44789</v>
      </c>
      <c r="I158" s="3">
        <v>2</v>
      </c>
      <c r="J158" s="3">
        <v>51144</v>
      </c>
      <c r="K158" s="3">
        <v>98</v>
      </c>
      <c r="L158" s="3">
        <v>1</v>
      </c>
      <c r="M158" s="3">
        <v>20</v>
      </c>
      <c r="N158" s="3" t="s">
        <v>702</v>
      </c>
      <c r="O158" s="3" t="s">
        <v>704</v>
      </c>
      <c r="P158" s="3" t="s">
        <v>717</v>
      </c>
      <c r="Q158" s="3" t="s">
        <v>718</v>
      </c>
    </row>
    <row r="159" spans="1:17" x14ac:dyDescent="0.3">
      <c r="A159" s="3" t="s">
        <v>172</v>
      </c>
      <c r="B159" s="3" t="s">
        <v>507</v>
      </c>
      <c r="C159" s="3">
        <v>55</v>
      </c>
      <c r="D159" s="3" t="s">
        <v>689</v>
      </c>
      <c r="E159" s="3" t="s">
        <v>693</v>
      </c>
      <c r="F159" s="3" t="s">
        <v>700</v>
      </c>
      <c r="G159" s="4">
        <v>45252</v>
      </c>
      <c r="H159" s="4"/>
      <c r="I159" s="3">
        <v>7</v>
      </c>
      <c r="J159" s="3">
        <v>62501</v>
      </c>
      <c r="K159" s="3">
        <v>81</v>
      </c>
      <c r="L159" s="3">
        <v>1</v>
      </c>
      <c r="M159" s="3">
        <v>21</v>
      </c>
      <c r="N159" s="3" t="s">
        <v>702</v>
      </c>
      <c r="O159" s="3" t="s">
        <v>705</v>
      </c>
      <c r="P159" s="3" t="s">
        <v>717</v>
      </c>
      <c r="Q159" s="3" t="s">
        <v>718</v>
      </c>
    </row>
    <row r="160" spans="1:17" x14ac:dyDescent="0.3">
      <c r="A160" s="3" t="s">
        <v>173</v>
      </c>
      <c r="B160" s="3" t="s">
        <v>508</v>
      </c>
      <c r="C160" s="3">
        <v>48</v>
      </c>
      <c r="D160" s="3" t="s">
        <v>689</v>
      </c>
      <c r="E160" s="3" t="s">
        <v>694</v>
      </c>
      <c r="F160" s="3" t="s">
        <v>698</v>
      </c>
      <c r="G160" s="4">
        <v>44451</v>
      </c>
      <c r="H160" s="4"/>
      <c r="I160" s="3">
        <v>11</v>
      </c>
      <c r="J160" s="3">
        <v>49486</v>
      </c>
      <c r="K160" s="3">
        <v>85</v>
      </c>
      <c r="L160" s="3">
        <v>4</v>
      </c>
      <c r="M160" s="3">
        <v>23</v>
      </c>
      <c r="N160" s="3" t="s">
        <v>701</v>
      </c>
      <c r="O160" s="3" t="s">
        <v>705</v>
      </c>
      <c r="P160" s="3" t="s">
        <v>717</v>
      </c>
      <c r="Q160" s="3" t="s">
        <v>718</v>
      </c>
    </row>
    <row r="161" spans="1:17" x14ac:dyDescent="0.3">
      <c r="A161" s="3" t="s">
        <v>174</v>
      </c>
      <c r="B161" s="3" t="s">
        <v>509</v>
      </c>
      <c r="C161" s="3">
        <v>26</v>
      </c>
      <c r="D161" s="3" t="s">
        <v>689</v>
      </c>
      <c r="E161" s="3" t="s">
        <v>695</v>
      </c>
      <c r="F161" s="3" t="s">
        <v>696</v>
      </c>
      <c r="G161" s="4">
        <v>44743</v>
      </c>
      <c r="H161" s="4">
        <v>45702</v>
      </c>
      <c r="I161" s="3">
        <v>18</v>
      </c>
      <c r="J161" s="3">
        <v>63504</v>
      </c>
      <c r="K161" s="3">
        <v>80</v>
      </c>
      <c r="L161" s="3">
        <v>1</v>
      </c>
      <c r="M161" s="3">
        <v>5</v>
      </c>
      <c r="N161" s="3" t="s">
        <v>702</v>
      </c>
      <c r="O161" s="3" t="s">
        <v>704</v>
      </c>
      <c r="P161" s="3" t="s">
        <v>715</v>
      </c>
      <c r="Q161" s="3" t="s">
        <v>718</v>
      </c>
    </row>
    <row r="162" spans="1:17" x14ac:dyDescent="0.3">
      <c r="A162" s="3" t="s">
        <v>175</v>
      </c>
      <c r="B162" s="3" t="s">
        <v>510</v>
      </c>
      <c r="C162" s="3">
        <v>40</v>
      </c>
      <c r="D162" s="3" t="s">
        <v>689</v>
      </c>
      <c r="E162" s="3" t="s">
        <v>695</v>
      </c>
      <c r="F162" s="3" t="s">
        <v>698</v>
      </c>
      <c r="G162" s="4">
        <v>45550</v>
      </c>
      <c r="H162" s="4"/>
      <c r="I162" s="3">
        <v>6</v>
      </c>
      <c r="J162" s="3">
        <v>115408</v>
      </c>
      <c r="K162" s="3">
        <v>84</v>
      </c>
      <c r="L162" s="3">
        <v>3</v>
      </c>
      <c r="M162" s="3">
        <v>28</v>
      </c>
      <c r="N162" s="3" t="s">
        <v>703</v>
      </c>
      <c r="O162" s="3" t="s">
        <v>705</v>
      </c>
      <c r="P162" s="3" t="s">
        <v>713</v>
      </c>
      <c r="Q162" s="3" t="s">
        <v>714</v>
      </c>
    </row>
    <row r="163" spans="1:17" x14ac:dyDescent="0.3">
      <c r="A163" s="3" t="s">
        <v>176</v>
      </c>
      <c r="B163" s="3" t="s">
        <v>511</v>
      </c>
      <c r="C163" s="3">
        <v>48</v>
      </c>
      <c r="D163" s="3" t="s">
        <v>686</v>
      </c>
      <c r="E163" s="3" t="s">
        <v>692</v>
      </c>
      <c r="F163" s="3" t="s">
        <v>700</v>
      </c>
      <c r="G163" s="4">
        <v>45685</v>
      </c>
      <c r="H163" s="4"/>
      <c r="I163" s="3">
        <v>13</v>
      </c>
      <c r="J163" s="3">
        <v>72619</v>
      </c>
      <c r="K163" s="3">
        <v>86</v>
      </c>
      <c r="L163" s="3">
        <v>2</v>
      </c>
      <c r="M163" s="3">
        <v>1</v>
      </c>
      <c r="N163" s="3" t="s">
        <v>703</v>
      </c>
      <c r="O163" s="3" t="s">
        <v>705</v>
      </c>
      <c r="P163" s="3" t="s">
        <v>717</v>
      </c>
      <c r="Q163" s="3" t="s">
        <v>718</v>
      </c>
    </row>
    <row r="164" spans="1:17" x14ac:dyDescent="0.3">
      <c r="A164" s="3" t="s">
        <v>177</v>
      </c>
      <c r="B164" s="3" t="s">
        <v>512</v>
      </c>
      <c r="C164" s="3">
        <v>23</v>
      </c>
      <c r="D164" s="3" t="s">
        <v>685</v>
      </c>
      <c r="E164" s="3" t="s">
        <v>692</v>
      </c>
      <c r="F164" s="3" t="s">
        <v>696</v>
      </c>
      <c r="G164" s="4">
        <v>45935</v>
      </c>
      <c r="H164" s="4"/>
      <c r="I164" s="3">
        <v>12</v>
      </c>
      <c r="J164" s="3">
        <v>72467</v>
      </c>
      <c r="K164" s="3">
        <v>82</v>
      </c>
      <c r="L164" s="3">
        <v>5</v>
      </c>
      <c r="M164" s="3">
        <v>2</v>
      </c>
      <c r="N164" s="3" t="s">
        <v>701</v>
      </c>
      <c r="O164" s="3" t="s">
        <v>705</v>
      </c>
      <c r="P164" s="3" t="s">
        <v>719</v>
      </c>
      <c r="Q164" s="3" t="s">
        <v>718</v>
      </c>
    </row>
    <row r="165" spans="1:17" x14ac:dyDescent="0.3">
      <c r="A165" s="3" t="s">
        <v>178</v>
      </c>
      <c r="B165" s="3" t="s">
        <v>513</v>
      </c>
      <c r="C165" s="3">
        <v>44</v>
      </c>
      <c r="D165" s="3" t="s">
        <v>686</v>
      </c>
      <c r="E165" s="3" t="s">
        <v>694</v>
      </c>
      <c r="F165" s="3" t="s">
        <v>700</v>
      </c>
      <c r="G165" s="4">
        <v>44511</v>
      </c>
      <c r="H165" s="4"/>
      <c r="I165" s="3">
        <v>19</v>
      </c>
      <c r="J165" s="3">
        <v>43047</v>
      </c>
      <c r="K165" s="3">
        <v>86</v>
      </c>
      <c r="L165" s="3">
        <v>3</v>
      </c>
      <c r="M165" s="3">
        <v>25</v>
      </c>
      <c r="N165" s="3" t="s">
        <v>702</v>
      </c>
      <c r="O165" s="3" t="s">
        <v>705</v>
      </c>
      <c r="P165" s="3" t="s">
        <v>713</v>
      </c>
      <c r="Q165" s="3" t="s">
        <v>718</v>
      </c>
    </row>
    <row r="166" spans="1:17" x14ac:dyDescent="0.3">
      <c r="A166" s="3" t="s">
        <v>179</v>
      </c>
      <c r="B166" s="3" t="s">
        <v>514</v>
      </c>
      <c r="C166" s="3">
        <v>36</v>
      </c>
      <c r="D166" s="3" t="s">
        <v>690</v>
      </c>
      <c r="E166" s="3" t="s">
        <v>692</v>
      </c>
      <c r="F166" s="3" t="s">
        <v>696</v>
      </c>
      <c r="G166" s="4">
        <v>45527</v>
      </c>
      <c r="H166" s="4"/>
      <c r="I166" s="3">
        <v>16</v>
      </c>
      <c r="J166" s="3">
        <v>92861</v>
      </c>
      <c r="K166" s="3">
        <v>82</v>
      </c>
      <c r="L166" s="3">
        <v>5</v>
      </c>
      <c r="M166" s="3">
        <v>7</v>
      </c>
      <c r="N166" s="3" t="s">
        <v>702</v>
      </c>
      <c r="O166" s="3" t="s">
        <v>705</v>
      </c>
      <c r="P166" s="3" t="s">
        <v>713</v>
      </c>
      <c r="Q166" s="3" t="s">
        <v>714</v>
      </c>
    </row>
    <row r="167" spans="1:17" x14ac:dyDescent="0.3">
      <c r="A167" s="3" t="s">
        <v>180</v>
      </c>
      <c r="B167" s="3" t="s">
        <v>515</v>
      </c>
      <c r="C167" s="3">
        <v>49</v>
      </c>
      <c r="D167" s="3" t="s">
        <v>685</v>
      </c>
      <c r="E167" s="3" t="s">
        <v>695</v>
      </c>
      <c r="F167" s="3" t="s">
        <v>699</v>
      </c>
      <c r="G167" s="4">
        <v>45784</v>
      </c>
      <c r="H167" s="4"/>
      <c r="I167" s="3">
        <v>16</v>
      </c>
      <c r="J167" s="3">
        <v>51237</v>
      </c>
      <c r="K167" s="3">
        <v>73</v>
      </c>
      <c r="L167" s="3">
        <v>2</v>
      </c>
      <c r="M167" s="3">
        <v>4</v>
      </c>
      <c r="N167" s="3" t="s">
        <v>702</v>
      </c>
      <c r="O167" s="3" t="s">
        <v>705</v>
      </c>
      <c r="P167" s="3" t="s">
        <v>717</v>
      </c>
      <c r="Q167" s="3" t="s">
        <v>718</v>
      </c>
    </row>
    <row r="168" spans="1:17" x14ac:dyDescent="0.3">
      <c r="A168" s="3" t="s">
        <v>181</v>
      </c>
      <c r="B168" s="3" t="s">
        <v>516</v>
      </c>
      <c r="C168" s="3">
        <v>26</v>
      </c>
      <c r="D168" s="3" t="s">
        <v>688</v>
      </c>
      <c r="E168" s="3" t="s">
        <v>693</v>
      </c>
      <c r="F168" s="3" t="s">
        <v>699</v>
      </c>
      <c r="G168" s="4">
        <v>44550</v>
      </c>
      <c r="H168" s="4"/>
      <c r="I168" s="3">
        <v>3</v>
      </c>
      <c r="J168" s="3">
        <v>97089</v>
      </c>
      <c r="K168" s="3">
        <v>87</v>
      </c>
      <c r="L168" s="3">
        <v>3</v>
      </c>
      <c r="M168" s="3">
        <v>19</v>
      </c>
      <c r="N168" s="3" t="s">
        <v>703</v>
      </c>
      <c r="O168" s="3" t="s">
        <v>705</v>
      </c>
      <c r="P168" s="3" t="s">
        <v>715</v>
      </c>
      <c r="Q168" s="3" t="s">
        <v>714</v>
      </c>
    </row>
    <row r="169" spans="1:17" x14ac:dyDescent="0.3">
      <c r="A169" s="3" t="s">
        <v>182</v>
      </c>
      <c r="B169" s="3" t="s">
        <v>517</v>
      </c>
      <c r="C169" s="3">
        <v>53</v>
      </c>
      <c r="D169" s="3" t="s">
        <v>685</v>
      </c>
      <c r="E169" s="3" t="s">
        <v>692</v>
      </c>
      <c r="F169" s="3" t="s">
        <v>696</v>
      </c>
      <c r="G169" s="4">
        <v>45654</v>
      </c>
      <c r="H169" s="4">
        <v>46142</v>
      </c>
      <c r="I169" s="3">
        <v>5</v>
      </c>
      <c r="J169" s="3">
        <v>56029</v>
      </c>
      <c r="K169" s="3">
        <v>95</v>
      </c>
      <c r="L169" s="3">
        <v>4</v>
      </c>
      <c r="M169" s="3">
        <v>1</v>
      </c>
      <c r="N169" s="3" t="s">
        <v>702</v>
      </c>
      <c r="O169" s="3" t="s">
        <v>704</v>
      </c>
      <c r="P169" s="3" t="s">
        <v>717</v>
      </c>
      <c r="Q169" s="3" t="s">
        <v>718</v>
      </c>
    </row>
    <row r="170" spans="1:17" x14ac:dyDescent="0.3">
      <c r="A170" s="3" t="s">
        <v>183</v>
      </c>
      <c r="B170" s="3" t="s">
        <v>518</v>
      </c>
      <c r="C170" s="3">
        <v>50</v>
      </c>
      <c r="D170" s="3" t="s">
        <v>687</v>
      </c>
      <c r="E170" s="3" t="s">
        <v>691</v>
      </c>
      <c r="F170" s="3" t="s">
        <v>697</v>
      </c>
      <c r="G170" s="4">
        <v>45331</v>
      </c>
      <c r="H170" s="4"/>
      <c r="I170" s="3">
        <v>3</v>
      </c>
      <c r="J170" s="3">
        <v>33617</v>
      </c>
      <c r="K170" s="3">
        <v>79</v>
      </c>
      <c r="L170" s="3">
        <v>4</v>
      </c>
      <c r="M170" s="3">
        <v>30</v>
      </c>
      <c r="N170" s="3" t="s">
        <v>701</v>
      </c>
      <c r="O170" s="3" t="s">
        <v>705</v>
      </c>
      <c r="P170" s="3" t="s">
        <v>717</v>
      </c>
      <c r="Q170" s="3" t="s">
        <v>716</v>
      </c>
    </row>
    <row r="171" spans="1:17" x14ac:dyDescent="0.3">
      <c r="A171" s="3" t="s">
        <v>184</v>
      </c>
      <c r="B171" s="3" t="s">
        <v>519</v>
      </c>
      <c r="C171" s="3">
        <v>57</v>
      </c>
      <c r="D171" s="3" t="s">
        <v>690</v>
      </c>
      <c r="E171" s="3" t="s">
        <v>691</v>
      </c>
      <c r="F171" s="3" t="s">
        <v>699</v>
      </c>
      <c r="G171" s="4">
        <v>45038</v>
      </c>
      <c r="H171" s="4"/>
      <c r="I171" s="3">
        <v>3</v>
      </c>
      <c r="J171" s="3">
        <v>83979</v>
      </c>
      <c r="K171" s="3">
        <v>84</v>
      </c>
      <c r="L171" s="3">
        <v>5</v>
      </c>
      <c r="M171" s="3">
        <v>22</v>
      </c>
      <c r="N171" s="3" t="s">
        <v>703</v>
      </c>
      <c r="O171" s="3" t="s">
        <v>705</v>
      </c>
      <c r="P171" s="3" t="s">
        <v>717</v>
      </c>
      <c r="Q171" s="3" t="s">
        <v>714</v>
      </c>
    </row>
    <row r="172" spans="1:17" x14ac:dyDescent="0.3">
      <c r="A172" s="3" t="s">
        <v>185</v>
      </c>
      <c r="B172" s="3" t="s">
        <v>520</v>
      </c>
      <c r="C172" s="3">
        <v>48</v>
      </c>
      <c r="D172" s="3" t="s">
        <v>687</v>
      </c>
      <c r="E172" s="3" t="s">
        <v>692</v>
      </c>
      <c r="F172" s="3" t="s">
        <v>700</v>
      </c>
      <c r="G172" s="4">
        <v>45995</v>
      </c>
      <c r="H172" s="4">
        <v>46142</v>
      </c>
      <c r="I172" s="3">
        <v>17</v>
      </c>
      <c r="J172" s="3">
        <v>45056</v>
      </c>
      <c r="K172" s="3">
        <v>79</v>
      </c>
      <c r="L172" s="3">
        <v>2</v>
      </c>
      <c r="M172" s="3">
        <v>10</v>
      </c>
      <c r="N172" s="3" t="s">
        <v>702</v>
      </c>
      <c r="O172" s="3" t="s">
        <v>704</v>
      </c>
      <c r="P172" s="3" t="s">
        <v>717</v>
      </c>
      <c r="Q172" s="3" t="s">
        <v>718</v>
      </c>
    </row>
    <row r="173" spans="1:17" x14ac:dyDescent="0.3">
      <c r="A173" s="3" t="s">
        <v>186</v>
      </c>
      <c r="B173" s="3" t="s">
        <v>521</v>
      </c>
      <c r="C173" s="3">
        <v>54</v>
      </c>
      <c r="D173" s="3" t="s">
        <v>686</v>
      </c>
      <c r="E173" s="3" t="s">
        <v>692</v>
      </c>
      <c r="F173" s="3" t="s">
        <v>699</v>
      </c>
      <c r="G173" s="4">
        <v>46111</v>
      </c>
      <c r="H173" s="4">
        <v>46142</v>
      </c>
      <c r="I173" s="3">
        <v>7</v>
      </c>
      <c r="J173" s="3">
        <v>108238</v>
      </c>
      <c r="K173" s="3">
        <v>100</v>
      </c>
      <c r="L173" s="3">
        <v>5</v>
      </c>
      <c r="M173" s="3">
        <v>17</v>
      </c>
      <c r="N173" s="3" t="s">
        <v>703</v>
      </c>
      <c r="O173" s="3" t="s">
        <v>704</v>
      </c>
      <c r="P173" s="3" t="s">
        <v>717</v>
      </c>
      <c r="Q173" s="3" t="s">
        <v>714</v>
      </c>
    </row>
    <row r="174" spans="1:17" x14ac:dyDescent="0.3">
      <c r="A174" s="3" t="s">
        <v>187</v>
      </c>
      <c r="B174" s="3" t="s">
        <v>522</v>
      </c>
      <c r="C174" s="3">
        <v>55</v>
      </c>
      <c r="D174" s="3" t="s">
        <v>690</v>
      </c>
      <c r="E174" s="3" t="s">
        <v>695</v>
      </c>
      <c r="F174" s="3" t="s">
        <v>696</v>
      </c>
      <c r="G174" s="4">
        <v>45477</v>
      </c>
      <c r="H174" s="4"/>
      <c r="I174" s="3">
        <v>19</v>
      </c>
      <c r="J174" s="3">
        <v>101106</v>
      </c>
      <c r="K174" s="3">
        <v>74</v>
      </c>
      <c r="L174" s="3">
        <v>2</v>
      </c>
      <c r="M174" s="3">
        <v>39</v>
      </c>
      <c r="N174" s="3" t="s">
        <v>701</v>
      </c>
      <c r="O174" s="3" t="s">
        <v>705</v>
      </c>
      <c r="P174" s="3" t="s">
        <v>717</v>
      </c>
      <c r="Q174" s="3" t="s">
        <v>714</v>
      </c>
    </row>
    <row r="175" spans="1:17" x14ac:dyDescent="0.3">
      <c r="A175" s="3" t="s">
        <v>188</v>
      </c>
      <c r="B175" s="3" t="s">
        <v>523</v>
      </c>
      <c r="C175" s="3">
        <v>57</v>
      </c>
      <c r="D175" s="3" t="s">
        <v>690</v>
      </c>
      <c r="E175" s="3" t="s">
        <v>692</v>
      </c>
      <c r="F175" s="3" t="s">
        <v>700</v>
      </c>
      <c r="G175" s="4">
        <v>46044</v>
      </c>
      <c r="H175" s="4"/>
      <c r="I175" s="3">
        <v>2</v>
      </c>
      <c r="J175" s="3">
        <v>109076</v>
      </c>
      <c r="K175" s="3">
        <v>94</v>
      </c>
      <c r="L175" s="3">
        <v>5</v>
      </c>
      <c r="M175" s="3">
        <v>16</v>
      </c>
      <c r="N175" s="3" t="s">
        <v>701</v>
      </c>
      <c r="O175" s="3" t="s">
        <v>705</v>
      </c>
      <c r="P175" s="3" t="s">
        <v>717</v>
      </c>
      <c r="Q175" s="3" t="s">
        <v>714</v>
      </c>
    </row>
    <row r="176" spans="1:17" x14ac:dyDescent="0.3">
      <c r="A176" s="3" t="s">
        <v>189</v>
      </c>
      <c r="B176" s="3" t="s">
        <v>524</v>
      </c>
      <c r="C176" s="3">
        <v>22</v>
      </c>
      <c r="D176" s="3" t="s">
        <v>689</v>
      </c>
      <c r="E176" s="3" t="s">
        <v>695</v>
      </c>
      <c r="F176" s="3" t="s">
        <v>699</v>
      </c>
      <c r="G176" s="4">
        <v>44628</v>
      </c>
      <c r="H176" s="4"/>
      <c r="I176" s="3">
        <v>10</v>
      </c>
      <c r="J176" s="3">
        <v>88300</v>
      </c>
      <c r="K176" s="3">
        <v>77</v>
      </c>
      <c r="L176" s="3">
        <v>4</v>
      </c>
      <c r="M176" s="3">
        <v>19</v>
      </c>
      <c r="N176" s="3" t="s">
        <v>702</v>
      </c>
      <c r="O176" s="3" t="s">
        <v>705</v>
      </c>
      <c r="P176" s="3" t="s">
        <v>719</v>
      </c>
      <c r="Q176" s="3" t="s">
        <v>714</v>
      </c>
    </row>
    <row r="177" spans="1:17" x14ac:dyDescent="0.3">
      <c r="A177" s="3" t="s">
        <v>190</v>
      </c>
      <c r="B177" s="3" t="s">
        <v>525</v>
      </c>
      <c r="C177" s="3">
        <v>49</v>
      </c>
      <c r="D177" s="3" t="s">
        <v>689</v>
      </c>
      <c r="E177" s="3" t="s">
        <v>694</v>
      </c>
      <c r="F177" s="3" t="s">
        <v>698</v>
      </c>
      <c r="G177" s="4">
        <v>44346</v>
      </c>
      <c r="H177" s="4">
        <v>44759</v>
      </c>
      <c r="I177" s="3">
        <v>7</v>
      </c>
      <c r="J177" s="3">
        <v>69589</v>
      </c>
      <c r="K177" s="3">
        <v>89</v>
      </c>
      <c r="L177" s="3">
        <v>2</v>
      </c>
      <c r="M177" s="3">
        <v>20</v>
      </c>
      <c r="N177" s="3" t="s">
        <v>701</v>
      </c>
      <c r="O177" s="3" t="s">
        <v>704</v>
      </c>
      <c r="P177" s="3" t="s">
        <v>717</v>
      </c>
      <c r="Q177" s="3" t="s">
        <v>718</v>
      </c>
    </row>
    <row r="178" spans="1:17" x14ac:dyDescent="0.3">
      <c r="A178" s="3" t="s">
        <v>191</v>
      </c>
      <c r="B178" s="3" t="s">
        <v>526</v>
      </c>
      <c r="C178" s="3">
        <v>46</v>
      </c>
      <c r="D178" s="3" t="s">
        <v>685</v>
      </c>
      <c r="E178" s="3" t="s">
        <v>693</v>
      </c>
      <c r="F178" s="3" t="s">
        <v>697</v>
      </c>
      <c r="G178" s="4">
        <v>44850</v>
      </c>
      <c r="H178" s="4"/>
      <c r="I178" s="3">
        <v>18</v>
      </c>
      <c r="J178" s="3">
        <v>38917</v>
      </c>
      <c r="K178" s="3">
        <v>80</v>
      </c>
      <c r="L178" s="3">
        <v>2</v>
      </c>
      <c r="M178" s="3">
        <v>29</v>
      </c>
      <c r="N178" s="3" t="s">
        <v>703</v>
      </c>
      <c r="O178" s="3" t="s">
        <v>705</v>
      </c>
      <c r="P178" s="3" t="s">
        <v>717</v>
      </c>
      <c r="Q178" s="3" t="s">
        <v>716</v>
      </c>
    </row>
    <row r="179" spans="1:17" x14ac:dyDescent="0.3">
      <c r="A179" s="3" t="s">
        <v>192</v>
      </c>
      <c r="B179" s="3" t="s">
        <v>527</v>
      </c>
      <c r="C179" s="3">
        <v>36</v>
      </c>
      <c r="D179" s="3" t="s">
        <v>685</v>
      </c>
      <c r="E179" s="3" t="s">
        <v>692</v>
      </c>
      <c r="F179" s="3" t="s">
        <v>700</v>
      </c>
      <c r="G179" s="4">
        <v>44744</v>
      </c>
      <c r="H179" s="4"/>
      <c r="I179" s="3">
        <v>10</v>
      </c>
      <c r="J179" s="3">
        <v>75351</v>
      </c>
      <c r="K179" s="3">
        <v>97</v>
      </c>
      <c r="L179" s="3">
        <v>5</v>
      </c>
      <c r="M179" s="3">
        <v>26</v>
      </c>
      <c r="N179" s="3" t="s">
        <v>703</v>
      </c>
      <c r="O179" s="3" t="s">
        <v>705</v>
      </c>
      <c r="P179" s="3" t="s">
        <v>713</v>
      </c>
      <c r="Q179" s="3" t="s">
        <v>718</v>
      </c>
    </row>
    <row r="180" spans="1:17" x14ac:dyDescent="0.3">
      <c r="A180" s="3" t="s">
        <v>193</v>
      </c>
      <c r="B180" s="3" t="s">
        <v>528</v>
      </c>
      <c r="C180" s="3">
        <v>57</v>
      </c>
      <c r="D180" s="3" t="s">
        <v>688</v>
      </c>
      <c r="E180" s="3" t="s">
        <v>693</v>
      </c>
      <c r="F180" s="3" t="s">
        <v>696</v>
      </c>
      <c r="G180" s="4">
        <v>45969</v>
      </c>
      <c r="H180" s="4">
        <v>46142</v>
      </c>
      <c r="I180" s="3">
        <v>6</v>
      </c>
      <c r="J180" s="3">
        <v>90308</v>
      </c>
      <c r="K180" s="3">
        <v>86</v>
      </c>
      <c r="L180" s="3">
        <v>4</v>
      </c>
      <c r="M180" s="3">
        <v>31</v>
      </c>
      <c r="N180" s="3" t="s">
        <v>702</v>
      </c>
      <c r="O180" s="3" t="s">
        <v>704</v>
      </c>
      <c r="P180" s="3" t="s">
        <v>717</v>
      </c>
      <c r="Q180" s="3" t="s">
        <v>714</v>
      </c>
    </row>
    <row r="181" spans="1:17" x14ac:dyDescent="0.3">
      <c r="A181" s="3" t="s">
        <v>194</v>
      </c>
      <c r="B181" s="3" t="s">
        <v>529</v>
      </c>
      <c r="C181" s="3">
        <v>46</v>
      </c>
      <c r="D181" s="3" t="s">
        <v>687</v>
      </c>
      <c r="E181" s="3" t="s">
        <v>694</v>
      </c>
      <c r="F181" s="3" t="s">
        <v>696</v>
      </c>
      <c r="G181" s="4">
        <v>45215</v>
      </c>
      <c r="H181" s="4">
        <v>45489</v>
      </c>
      <c r="I181" s="3">
        <v>7</v>
      </c>
      <c r="J181" s="3">
        <v>101460</v>
      </c>
      <c r="K181" s="3">
        <v>81</v>
      </c>
      <c r="L181" s="3">
        <v>1</v>
      </c>
      <c r="M181" s="3">
        <v>3</v>
      </c>
      <c r="N181" s="3" t="s">
        <v>702</v>
      </c>
      <c r="O181" s="3" t="s">
        <v>704</v>
      </c>
      <c r="P181" s="3" t="s">
        <v>717</v>
      </c>
      <c r="Q181" s="3" t="s">
        <v>714</v>
      </c>
    </row>
    <row r="182" spans="1:17" x14ac:dyDescent="0.3">
      <c r="A182" s="3" t="s">
        <v>195</v>
      </c>
      <c r="B182" s="3" t="s">
        <v>530</v>
      </c>
      <c r="C182" s="3">
        <v>39</v>
      </c>
      <c r="D182" s="3" t="s">
        <v>687</v>
      </c>
      <c r="E182" s="3" t="s">
        <v>692</v>
      </c>
      <c r="F182" s="3" t="s">
        <v>700</v>
      </c>
      <c r="G182" s="4">
        <v>45210</v>
      </c>
      <c r="H182" s="4"/>
      <c r="I182" s="3">
        <v>14</v>
      </c>
      <c r="J182" s="3">
        <v>42555</v>
      </c>
      <c r="K182" s="3">
        <v>98</v>
      </c>
      <c r="L182" s="3">
        <v>3</v>
      </c>
      <c r="M182" s="3">
        <v>23</v>
      </c>
      <c r="N182" s="3" t="s">
        <v>702</v>
      </c>
      <c r="O182" s="3" t="s">
        <v>705</v>
      </c>
      <c r="P182" s="3" t="s">
        <v>713</v>
      </c>
      <c r="Q182" s="3" t="s">
        <v>718</v>
      </c>
    </row>
    <row r="183" spans="1:17" x14ac:dyDescent="0.3">
      <c r="A183" s="3" t="s">
        <v>196</v>
      </c>
      <c r="B183" s="3" t="s">
        <v>531</v>
      </c>
      <c r="C183" s="3">
        <v>24</v>
      </c>
      <c r="D183" s="3" t="s">
        <v>687</v>
      </c>
      <c r="E183" s="3" t="s">
        <v>695</v>
      </c>
      <c r="F183" s="3" t="s">
        <v>696</v>
      </c>
      <c r="G183" s="4">
        <v>44946</v>
      </c>
      <c r="H183" s="4">
        <v>45856</v>
      </c>
      <c r="I183" s="3">
        <v>12</v>
      </c>
      <c r="J183" s="3">
        <v>97512</v>
      </c>
      <c r="K183" s="3">
        <v>79</v>
      </c>
      <c r="L183" s="3">
        <v>1</v>
      </c>
      <c r="M183" s="3">
        <v>24</v>
      </c>
      <c r="N183" s="3" t="s">
        <v>701</v>
      </c>
      <c r="O183" s="3" t="s">
        <v>704</v>
      </c>
      <c r="P183" s="3" t="s">
        <v>719</v>
      </c>
      <c r="Q183" s="3" t="s">
        <v>714</v>
      </c>
    </row>
    <row r="184" spans="1:17" x14ac:dyDescent="0.3">
      <c r="A184" s="3" t="s">
        <v>197</v>
      </c>
      <c r="B184" s="3" t="s">
        <v>532</v>
      </c>
      <c r="C184" s="3">
        <v>28</v>
      </c>
      <c r="D184" s="3" t="s">
        <v>685</v>
      </c>
      <c r="E184" s="3" t="s">
        <v>692</v>
      </c>
      <c r="F184" s="3" t="s">
        <v>698</v>
      </c>
      <c r="G184" s="4">
        <v>45119</v>
      </c>
      <c r="H184" s="4"/>
      <c r="I184" s="3">
        <v>12</v>
      </c>
      <c r="J184" s="3">
        <v>69444</v>
      </c>
      <c r="K184" s="3">
        <v>87</v>
      </c>
      <c r="L184" s="3">
        <v>3</v>
      </c>
      <c r="M184" s="3">
        <v>9</v>
      </c>
      <c r="N184" s="3" t="s">
        <v>703</v>
      </c>
      <c r="O184" s="3" t="s">
        <v>705</v>
      </c>
      <c r="P184" s="3" t="s">
        <v>715</v>
      </c>
      <c r="Q184" s="3" t="s">
        <v>718</v>
      </c>
    </row>
    <row r="185" spans="1:17" x14ac:dyDescent="0.3">
      <c r="A185" s="3" t="s">
        <v>198</v>
      </c>
      <c r="B185" s="3" t="s">
        <v>533</v>
      </c>
      <c r="C185" s="3">
        <v>53</v>
      </c>
      <c r="D185" s="3" t="s">
        <v>690</v>
      </c>
      <c r="E185" s="3" t="s">
        <v>692</v>
      </c>
      <c r="F185" s="3" t="s">
        <v>700</v>
      </c>
      <c r="G185" s="4">
        <v>45430</v>
      </c>
      <c r="H185" s="4"/>
      <c r="I185" s="3">
        <v>5</v>
      </c>
      <c r="J185" s="3">
        <v>118531</v>
      </c>
      <c r="K185" s="3">
        <v>80</v>
      </c>
      <c r="L185" s="3">
        <v>4</v>
      </c>
      <c r="M185" s="3">
        <v>33</v>
      </c>
      <c r="N185" s="3" t="s">
        <v>702</v>
      </c>
      <c r="O185" s="3" t="s">
        <v>705</v>
      </c>
      <c r="P185" s="3" t="s">
        <v>717</v>
      </c>
      <c r="Q185" s="3" t="s">
        <v>714</v>
      </c>
    </row>
    <row r="186" spans="1:17" x14ac:dyDescent="0.3">
      <c r="A186" s="3" t="s">
        <v>199</v>
      </c>
      <c r="B186" s="3" t="s">
        <v>534</v>
      </c>
      <c r="C186" s="3">
        <v>41</v>
      </c>
      <c r="D186" s="3" t="s">
        <v>685</v>
      </c>
      <c r="E186" s="3" t="s">
        <v>694</v>
      </c>
      <c r="F186" s="3" t="s">
        <v>697</v>
      </c>
      <c r="G186" s="4">
        <v>44502</v>
      </c>
      <c r="H186" s="4">
        <v>45263</v>
      </c>
      <c r="I186" s="3">
        <v>10</v>
      </c>
      <c r="J186" s="3">
        <v>102820</v>
      </c>
      <c r="K186" s="3">
        <v>80</v>
      </c>
      <c r="L186" s="3">
        <v>5</v>
      </c>
      <c r="M186" s="3">
        <v>32</v>
      </c>
      <c r="N186" s="3" t="s">
        <v>701</v>
      </c>
      <c r="O186" s="3" t="s">
        <v>704</v>
      </c>
      <c r="P186" s="3" t="s">
        <v>713</v>
      </c>
      <c r="Q186" s="3" t="s">
        <v>714</v>
      </c>
    </row>
    <row r="187" spans="1:17" x14ac:dyDescent="0.3">
      <c r="A187" s="3" t="s">
        <v>200</v>
      </c>
      <c r="B187" s="3" t="s">
        <v>535</v>
      </c>
      <c r="C187" s="3">
        <v>51</v>
      </c>
      <c r="D187" s="3" t="s">
        <v>690</v>
      </c>
      <c r="E187" s="3" t="s">
        <v>693</v>
      </c>
      <c r="F187" s="3" t="s">
        <v>699</v>
      </c>
      <c r="G187" s="4">
        <v>45200</v>
      </c>
      <c r="H187" s="4"/>
      <c r="I187" s="3">
        <v>4</v>
      </c>
      <c r="J187" s="3">
        <v>79596</v>
      </c>
      <c r="K187" s="3">
        <v>88</v>
      </c>
      <c r="L187" s="3">
        <v>3</v>
      </c>
      <c r="M187" s="3">
        <v>40</v>
      </c>
      <c r="N187" s="3" t="s">
        <v>703</v>
      </c>
      <c r="O187" s="3" t="s">
        <v>705</v>
      </c>
      <c r="P187" s="3" t="s">
        <v>717</v>
      </c>
      <c r="Q187" s="3" t="s">
        <v>718</v>
      </c>
    </row>
    <row r="188" spans="1:17" x14ac:dyDescent="0.3">
      <c r="A188" s="3" t="s">
        <v>201</v>
      </c>
      <c r="B188" s="3" t="s">
        <v>536</v>
      </c>
      <c r="C188" s="3">
        <v>37</v>
      </c>
      <c r="D188" s="3" t="s">
        <v>688</v>
      </c>
      <c r="E188" s="3" t="s">
        <v>695</v>
      </c>
      <c r="F188" s="3" t="s">
        <v>697</v>
      </c>
      <c r="G188" s="4">
        <v>45419</v>
      </c>
      <c r="H188" s="4"/>
      <c r="I188" s="3">
        <v>8</v>
      </c>
      <c r="J188" s="3">
        <v>119555</v>
      </c>
      <c r="K188" s="3">
        <v>71</v>
      </c>
      <c r="L188" s="3">
        <v>5</v>
      </c>
      <c r="M188" s="3">
        <v>30</v>
      </c>
      <c r="N188" s="3" t="s">
        <v>703</v>
      </c>
      <c r="O188" s="3" t="s">
        <v>705</v>
      </c>
      <c r="P188" s="3" t="s">
        <v>713</v>
      </c>
      <c r="Q188" s="3" t="s">
        <v>714</v>
      </c>
    </row>
    <row r="189" spans="1:17" x14ac:dyDescent="0.3">
      <c r="A189" s="3" t="s">
        <v>202</v>
      </c>
      <c r="B189" s="3" t="s">
        <v>537</v>
      </c>
      <c r="C189" s="3">
        <v>30</v>
      </c>
      <c r="D189" s="3" t="s">
        <v>688</v>
      </c>
      <c r="E189" s="3" t="s">
        <v>691</v>
      </c>
      <c r="F189" s="3" t="s">
        <v>700</v>
      </c>
      <c r="G189" s="4">
        <v>45270</v>
      </c>
      <c r="H189" s="4"/>
      <c r="I189" s="3">
        <v>19</v>
      </c>
      <c r="J189" s="3">
        <v>116818</v>
      </c>
      <c r="K189" s="3">
        <v>73</v>
      </c>
      <c r="L189" s="3">
        <v>2</v>
      </c>
      <c r="M189" s="3">
        <v>1</v>
      </c>
      <c r="N189" s="3" t="s">
        <v>702</v>
      </c>
      <c r="O189" s="3" t="s">
        <v>705</v>
      </c>
      <c r="P189" s="3" t="s">
        <v>715</v>
      </c>
      <c r="Q189" s="3" t="s">
        <v>714</v>
      </c>
    </row>
    <row r="190" spans="1:17" x14ac:dyDescent="0.3">
      <c r="A190" s="3" t="s">
        <v>203</v>
      </c>
      <c r="B190" s="3" t="s">
        <v>538</v>
      </c>
      <c r="C190" s="3">
        <v>30</v>
      </c>
      <c r="D190" s="3" t="s">
        <v>689</v>
      </c>
      <c r="E190" s="3" t="s">
        <v>691</v>
      </c>
      <c r="F190" s="3" t="s">
        <v>698</v>
      </c>
      <c r="G190" s="4">
        <v>44839</v>
      </c>
      <c r="H190" s="4"/>
      <c r="I190" s="3">
        <v>17</v>
      </c>
      <c r="J190" s="3">
        <v>105147</v>
      </c>
      <c r="K190" s="3">
        <v>99</v>
      </c>
      <c r="L190" s="3">
        <v>4</v>
      </c>
      <c r="M190" s="3">
        <v>3</v>
      </c>
      <c r="N190" s="3" t="s">
        <v>701</v>
      </c>
      <c r="O190" s="3" t="s">
        <v>705</v>
      </c>
      <c r="P190" s="3" t="s">
        <v>715</v>
      </c>
      <c r="Q190" s="3" t="s">
        <v>714</v>
      </c>
    </row>
    <row r="191" spans="1:17" x14ac:dyDescent="0.3">
      <c r="A191" s="3" t="s">
        <v>204</v>
      </c>
      <c r="B191" s="3" t="s">
        <v>539</v>
      </c>
      <c r="C191" s="3">
        <v>51</v>
      </c>
      <c r="D191" s="3" t="s">
        <v>687</v>
      </c>
      <c r="E191" s="3" t="s">
        <v>694</v>
      </c>
      <c r="F191" s="3" t="s">
        <v>699</v>
      </c>
      <c r="G191" s="4">
        <v>44479</v>
      </c>
      <c r="H191" s="4">
        <v>45234</v>
      </c>
      <c r="I191" s="3">
        <v>6</v>
      </c>
      <c r="J191" s="3">
        <v>85249</v>
      </c>
      <c r="K191" s="3">
        <v>99</v>
      </c>
      <c r="L191" s="3">
        <v>5</v>
      </c>
      <c r="M191" s="3">
        <v>21</v>
      </c>
      <c r="N191" s="3" t="s">
        <v>701</v>
      </c>
      <c r="O191" s="3" t="s">
        <v>704</v>
      </c>
      <c r="P191" s="3" t="s">
        <v>717</v>
      </c>
      <c r="Q191" s="3" t="s">
        <v>714</v>
      </c>
    </row>
    <row r="192" spans="1:17" x14ac:dyDescent="0.3">
      <c r="A192" s="3" t="s">
        <v>205</v>
      </c>
      <c r="B192" s="3" t="s">
        <v>540</v>
      </c>
      <c r="C192" s="3">
        <v>51</v>
      </c>
      <c r="D192" s="3" t="s">
        <v>685</v>
      </c>
      <c r="E192" s="3" t="s">
        <v>691</v>
      </c>
      <c r="F192" s="3" t="s">
        <v>699</v>
      </c>
      <c r="G192" s="4">
        <v>44922</v>
      </c>
      <c r="H192" s="4"/>
      <c r="I192" s="3">
        <v>18</v>
      </c>
      <c r="J192" s="3">
        <v>64124</v>
      </c>
      <c r="K192" s="3">
        <v>77</v>
      </c>
      <c r="L192" s="3">
        <v>3</v>
      </c>
      <c r="M192" s="3">
        <v>18</v>
      </c>
      <c r="N192" s="3" t="s">
        <v>701</v>
      </c>
      <c r="O192" s="3" t="s">
        <v>705</v>
      </c>
      <c r="P192" s="3" t="s">
        <v>717</v>
      </c>
      <c r="Q192" s="3" t="s">
        <v>718</v>
      </c>
    </row>
    <row r="193" spans="1:17" x14ac:dyDescent="0.3">
      <c r="A193" s="3" t="s">
        <v>206</v>
      </c>
      <c r="B193" s="3" t="s">
        <v>541</v>
      </c>
      <c r="C193" s="3">
        <v>41</v>
      </c>
      <c r="D193" s="3" t="s">
        <v>689</v>
      </c>
      <c r="E193" s="3" t="s">
        <v>693</v>
      </c>
      <c r="F193" s="3" t="s">
        <v>697</v>
      </c>
      <c r="G193" s="4">
        <v>44621</v>
      </c>
      <c r="H193" s="4"/>
      <c r="I193" s="3">
        <v>9</v>
      </c>
      <c r="J193" s="3">
        <v>62721</v>
      </c>
      <c r="K193" s="3">
        <v>73</v>
      </c>
      <c r="L193" s="3">
        <v>5</v>
      </c>
      <c r="M193" s="3">
        <v>34</v>
      </c>
      <c r="N193" s="3" t="s">
        <v>702</v>
      </c>
      <c r="O193" s="3" t="s">
        <v>705</v>
      </c>
      <c r="P193" s="3" t="s">
        <v>713</v>
      </c>
      <c r="Q193" s="3" t="s">
        <v>718</v>
      </c>
    </row>
    <row r="194" spans="1:17" x14ac:dyDescent="0.3">
      <c r="A194" s="3" t="s">
        <v>207</v>
      </c>
      <c r="B194" s="3" t="s">
        <v>542</v>
      </c>
      <c r="C194" s="3">
        <v>43</v>
      </c>
      <c r="D194" s="3" t="s">
        <v>685</v>
      </c>
      <c r="E194" s="3" t="s">
        <v>693</v>
      </c>
      <c r="F194" s="3" t="s">
        <v>700</v>
      </c>
      <c r="G194" s="4">
        <v>46031</v>
      </c>
      <c r="H194" s="4"/>
      <c r="I194" s="3">
        <v>10</v>
      </c>
      <c r="J194" s="3">
        <v>118603</v>
      </c>
      <c r="K194" s="3">
        <v>72</v>
      </c>
      <c r="L194" s="3">
        <v>3</v>
      </c>
      <c r="M194" s="3">
        <v>28</v>
      </c>
      <c r="N194" s="3" t="s">
        <v>701</v>
      </c>
      <c r="O194" s="3" t="s">
        <v>705</v>
      </c>
      <c r="P194" s="3" t="s">
        <v>713</v>
      </c>
      <c r="Q194" s="3" t="s">
        <v>714</v>
      </c>
    </row>
    <row r="195" spans="1:17" x14ac:dyDescent="0.3">
      <c r="A195" s="3" t="s">
        <v>208</v>
      </c>
      <c r="B195" s="3" t="s">
        <v>543</v>
      </c>
      <c r="C195" s="3">
        <v>34</v>
      </c>
      <c r="D195" s="3" t="s">
        <v>685</v>
      </c>
      <c r="E195" s="3" t="s">
        <v>695</v>
      </c>
      <c r="F195" s="3" t="s">
        <v>699</v>
      </c>
      <c r="G195" s="4">
        <v>44722</v>
      </c>
      <c r="H195" s="4"/>
      <c r="I195" s="3">
        <v>18</v>
      </c>
      <c r="J195" s="3">
        <v>116248</v>
      </c>
      <c r="K195" s="3">
        <v>78</v>
      </c>
      <c r="L195" s="3">
        <v>2</v>
      </c>
      <c r="M195" s="3">
        <v>6</v>
      </c>
      <c r="N195" s="3" t="s">
        <v>701</v>
      </c>
      <c r="O195" s="3" t="s">
        <v>705</v>
      </c>
      <c r="P195" s="3" t="s">
        <v>715</v>
      </c>
      <c r="Q195" s="3" t="s">
        <v>714</v>
      </c>
    </row>
    <row r="196" spans="1:17" x14ac:dyDescent="0.3">
      <c r="A196" s="3" t="s">
        <v>209</v>
      </c>
      <c r="B196" s="3" t="s">
        <v>544</v>
      </c>
      <c r="C196" s="3">
        <v>24</v>
      </c>
      <c r="D196" s="3" t="s">
        <v>688</v>
      </c>
      <c r="E196" s="3" t="s">
        <v>695</v>
      </c>
      <c r="F196" s="3" t="s">
        <v>696</v>
      </c>
      <c r="G196" s="4">
        <v>45714</v>
      </c>
      <c r="H196" s="4">
        <v>46142</v>
      </c>
      <c r="I196" s="3">
        <v>8</v>
      </c>
      <c r="J196" s="3">
        <v>31880</v>
      </c>
      <c r="K196" s="3">
        <v>73</v>
      </c>
      <c r="L196" s="3">
        <v>4</v>
      </c>
      <c r="M196" s="3">
        <v>21</v>
      </c>
      <c r="N196" s="3" t="s">
        <v>701</v>
      </c>
      <c r="O196" s="3" t="s">
        <v>704</v>
      </c>
      <c r="P196" s="3" t="s">
        <v>719</v>
      </c>
      <c r="Q196" s="3" t="s">
        <v>716</v>
      </c>
    </row>
    <row r="197" spans="1:17" x14ac:dyDescent="0.3">
      <c r="A197" s="3" t="s">
        <v>210</v>
      </c>
      <c r="B197" s="3" t="s">
        <v>545</v>
      </c>
      <c r="C197" s="3">
        <v>21</v>
      </c>
      <c r="D197" s="3" t="s">
        <v>687</v>
      </c>
      <c r="E197" s="3" t="s">
        <v>691</v>
      </c>
      <c r="F197" s="3" t="s">
        <v>698</v>
      </c>
      <c r="G197" s="4">
        <v>45164</v>
      </c>
      <c r="H197" s="4">
        <v>45535</v>
      </c>
      <c r="I197" s="3">
        <v>16</v>
      </c>
      <c r="J197" s="3">
        <v>87580</v>
      </c>
      <c r="K197" s="3">
        <v>90</v>
      </c>
      <c r="L197" s="3">
        <v>2</v>
      </c>
      <c r="M197" s="3">
        <v>18</v>
      </c>
      <c r="N197" s="3" t="s">
        <v>702</v>
      </c>
      <c r="O197" s="3" t="s">
        <v>704</v>
      </c>
      <c r="P197" s="3" t="s">
        <v>719</v>
      </c>
      <c r="Q197" s="3" t="s">
        <v>714</v>
      </c>
    </row>
    <row r="198" spans="1:17" x14ac:dyDescent="0.3">
      <c r="A198" s="3" t="s">
        <v>211</v>
      </c>
      <c r="B198" s="3" t="s">
        <v>546</v>
      </c>
      <c r="C198" s="3">
        <v>57</v>
      </c>
      <c r="D198" s="3" t="s">
        <v>685</v>
      </c>
      <c r="E198" s="3" t="s">
        <v>695</v>
      </c>
      <c r="F198" s="3" t="s">
        <v>700</v>
      </c>
      <c r="G198" s="4">
        <v>44781</v>
      </c>
      <c r="H198" s="4">
        <v>45054</v>
      </c>
      <c r="I198" s="3">
        <v>6</v>
      </c>
      <c r="J198" s="3">
        <v>79773</v>
      </c>
      <c r="K198" s="3">
        <v>98</v>
      </c>
      <c r="L198" s="3">
        <v>2</v>
      </c>
      <c r="M198" s="3">
        <v>2</v>
      </c>
      <c r="N198" s="3" t="s">
        <v>702</v>
      </c>
      <c r="O198" s="3" t="s">
        <v>704</v>
      </c>
      <c r="P198" s="3" t="s">
        <v>717</v>
      </c>
      <c r="Q198" s="3" t="s">
        <v>718</v>
      </c>
    </row>
    <row r="199" spans="1:17" x14ac:dyDescent="0.3">
      <c r="A199" s="3" t="s">
        <v>212</v>
      </c>
      <c r="B199" s="3" t="s">
        <v>547</v>
      </c>
      <c r="C199" s="3">
        <v>32</v>
      </c>
      <c r="D199" s="3" t="s">
        <v>688</v>
      </c>
      <c r="E199" s="3" t="s">
        <v>693</v>
      </c>
      <c r="F199" s="3" t="s">
        <v>700</v>
      </c>
      <c r="G199" s="4">
        <v>45810</v>
      </c>
      <c r="H199" s="4"/>
      <c r="I199" s="3">
        <v>1</v>
      </c>
      <c r="J199" s="3">
        <v>64110</v>
      </c>
      <c r="K199" s="3">
        <v>88</v>
      </c>
      <c r="L199" s="3">
        <v>5</v>
      </c>
      <c r="M199" s="3">
        <v>6</v>
      </c>
      <c r="N199" s="3" t="s">
        <v>702</v>
      </c>
      <c r="O199" s="3" t="s">
        <v>705</v>
      </c>
      <c r="P199" s="3" t="s">
        <v>715</v>
      </c>
      <c r="Q199" s="3" t="s">
        <v>718</v>
      </c>
    </row>
    <row r="200" spans="1:17" x14ac:dyDescent="0.3">
      <c r="A200" s="3" t="s">
        <v>213</v>
      </c>
      <c r="B200" s="3" t="s">
        <v>548</v>
      </c>
      <c r="C200" s="3">
        <v>55</v>
      </c>
      <c r="D200" s="3" t="s">
        <v>687</v>
      </c>
      <c r="E200" s="3" t="s">
        <v>694</v>
      </c>
      <c r="F200" s="3" t="s">
        <v>696</v>
      </c>
      <c r="G200" s="4">
        <v>44779</v>
      </c>
      <c r="H200" s="4"/>
      <c r="I200" s="3">
        <v>17</v>
      </c>
      <c r="J200" s="3">
        <v>86344</v>
      </c>
      <c r="K200" s="3">
        <v>78</v>
      </c>
      <c r="L200" s="3">
        <v>2</v>
      </c>
      <c r="M200" s="3">
        <v>7</v>
      </c>
      <c r="N200" s="3" t="s">
        <v>702</v>
      </c>
      <c r="O200" s="3" t="s">
        <v>705</v>
      </c>
      <c r="P200" s="3" t="s">
        <v>717</v>
      </c>
      <c r="Q200" s="3" t="s">
        <v>714</v>
      </c>
    </row>
    <row r="201" spans="1:17" x14ac:dyDescent="0.3">
      <c r="A201" s="3" t="s">
        <v>214</v>
      </c>
      <c r="B201" s="3" t="s">
        <v>549</v>
      </c>
      <c r="C201" s="3">
        <v>37</v>
      </c>
      <c r="D201" s="3" t="s">
        <v>688</v>
      </c>
      <c r="E201" s="3" t="s">
        <v>691</v>
      </c>
      <c r="F201" s="3" t="s">
        <v>700</v>
      </c>
      <c r="G201" s="4">
        <v>44529</v>
      </c>
      <c r="H201" s="4"/>
      <c r="I201" s="3">
        <v>11</v>
      </c>
      <c r="J201" s="3">
        <v>63669</v>
      </c>
      <c r="K201" s="3">
        <v>88</v>
      </c>
      <c r="L201" s="3">
        <v>2</v>
      </c>
      <c r="M201" s="3">
        <v>11</v>
      </c>
      <c r="N201" s="3" t="s">
        <v>701</v>
      </c>
      <c r="O201" s="3" t="s">
        <v>705</v>
      </c>
      <c r="P201" s="3" t="s">
        <v>713</v>
      </c>
      <c r="Q201" s="3" t="s">
        <v>718</v>
      </c>
    </row>
    <row r="202" spans="1:17" x14ac:dyDescent="0.3">
      <c r="A202" s="3" t="s">
        <v>215</v>
      </c>
      <c r="B202" s="3" t="s">
        <v>550</v>
      </c>
      <c r="C202" s="3">
        <v>48</v>
      </c>
      <c r="D202" s="3" t="s">
        <v>687</v>
      </c>
      <c r="E202" s="3" t="s">
        <v>693</v>
      </c>
      <c r="F202" s="3" t="s">
        <v>700</v>
      </c>
      <c r="G202" s="4">
        <v>45950</v>
      </c>
      <c r="H202" s="4"/>
      <c r="I202" s="3">
        <v>13</v>
      </c>
      <c r="J202" s="3">
        <v>112720</v>
      </c>
      <c r="K202" s="3">
        <v>73</v>
      </c>
      <c r="L202" s="3">
        <v>2</v>
      </c>
      <c r="M202" s="3">
        <v>8</v>
      </c>
      <c r="N202" s="3" t="s">
        <v>702</v>
      </c>
      <c r="O202" s="3" t="s">
        <v>705</v>
      </c>
      <c r="P202" s="3" t="s">
        <v>717</v>
      </c>
      <c r="Q202" s="3" t="s">
        <v>714</v>
      </c>
    </row>
    <row r="203" spans="1:17" x14ac:dyDescent="0.3">
      <c r="A203" s="3" t="s">
        <v>216</v>
      </c>
      <c r="B203" s="3" t="s">
        <v>551</v>
      </c>
      <c r="C203" s="3">
        <v>37</v>
      </c>
      <c r="D203" s="3" t="s">
        <v>689</v>
      </c>
      <c r="E203" s="3" t="s">
        <v>691</v>
      </c>
      <c r="F203" s="3" t="s">
        <v>698</v>
      </c>
      <c r="G203" s="4">
        <v>44859</v>
      </c>
      <c r="H203" s="4">
        <v>44962</v>
      </c>
      <c r="I203" s="3">
        <v>9</v>
      </c>
      <c r="J203" s="3">
        <v>68204</v>
      </c>
      <c r="K203" s="3">
        <v>79</v>
      </c>
      <c r="L203" s="3">
        <v>5</v>
      </c>
      <c r="M203" s="3">
        <v>36</v>
      </c>
      <c r="N203" s="3" t="s">
        <v>703</v>
      </c>
      <c r="O203" s="3" t="s">
        <v>704</v>
      </c>
      <c r="P203" s="3" t="s">
        <v>713</v>
      </c>
      <c r="Q203" s="3" t="s">
        <v>718</v>
      </c>
    </row>
    <row r="204" spans="1:17" x14ac:dyDescent="0.3">
      <c r="A204" s="3" t="s">
        <v>217</v>
      </c>
      <c r="B204" s="3" t="s">
        <v>552</v>
      </c>
      <c r="C204" s="3">
        <v>36</v>
      </c>
      <c r="D204" s="3" t="s">
        <v>690</v>
      </c>
      <c r="E204" s="3" t="s">
        <v>692</v>
      </c>
      <c r="F204" s="3" t="s">
        <v>698</v>
      </c>
      <c r="G204" s="4">
        <v>44732</v>
      </c>
      <c r="H204" s="4"/>
      <c r="I204" s="3">
        <v>10</v>
      </c>
      <c r="J204" s="3">
        <v>45934</v>
      </c>
      <c r="K204" s="3">
        <v>82</v>
      </c>
      <c r="L204" s="3">
        <v>5</v>
      </c>
      <c r="M204" s="3">
        <v>19</v>
      </c>
      <c r="N204" s="3" t="s">
        <v>701</v>
      </c>
      <c r="O204" s="3" t="s">
        <v>705</v>
      </c>
      <c r="P204" s="3" t="s">
        <v>713</v>
      </c>
      <c r="Q204" s="3" t="s">
        <v>718</v>
      </c>
    </row>
    <row r="205" spans="1:17" x14ac:dyDescent="0.3">
      <c r="A205" s="3" t="s">
        <v>218</v>
      </c>
      <c r="B205" s="3" t="s">
        <v>553</v>
      </c>
      <c r="C205" s="3">
        <v>44</v>
      </c>
      <c r="D205" s="3" t="s">
        <v>687</v>
      </c>
      <c r="E205" s="3" t="s">
        <v>691</v>
      </c>
      <c r="F205" s="3" t="s">
        <v>696</v>
      </c>
      <c r="G205" s="4">
        <v>44437</v>
      </c>
      <c r="H205" s="4"/>
      <c r="I205" s="3">
        <v>5</v>
      </c>
      <c r="J205" s="3">
        <v>87676</v>
      </c>
      <c r="K205" s="3">
        <v>74</v>
      </c>
      <c r="L205" s="3">
        <v>4</v>
      </c>
      <c r="M205" s="3">
        <v>38</v>
      </c>
      <c r="N205" s="3" t="s">
        <v>702</v>
      </c>
      <c r="O205" s="3" t="s">
        <v>705</v>
      </c>
      <c r="P205" s="3" t="s">
        <v>713</v>
      </c>
      <c r="Q205" s="3" t="s">
        <v>714</v>
      </c>
    </row>
    <row r="206" spans="1:17" x14ac:dyDescent="0.3">
      <c r="A206" s="3" t="s">
        <v>219</v>
      </c>
      <c r="B206" s="3" t="s">
        <v>554</v>
      </c>
      <c r="C206" s="3">
        <v>55</v>
      </c>
      <c r="D206" s="3" t="s">
        <v>688</v>
      </c>
      <c r="E206" s="3" t="s">
        <v>691</v>
      </c>
      <c r="F206" s="3" t="s">
        <v>696</v>
      </c>
      <c r="G206" s="4">
        <v>45048</v>
      </c>
      <c r="H206" s="4"/>
      <c r="I206" s="3">
        <v>20</v>
      </c>
      <c r="J206" s="3">
        <v>35730</v>
      </c>
      <c r="K206" s="3">
        <v>86</v>
      </c>
      <c r="L206" s="3">
        <v>4</v>
      </c>
      <c r="M206" s="3">
        <v>33</v>
      </c>
      <c r="N206" s="3" t="s">
        <v>701</v>
      </c>
      <c r="O206" s="3" t="s">
        <v>705</v>
      </c>
      <c r="P206" s="3" t="s">
        <v>717</v>
      </c>
      <c r="Q206" s="3" t="s">
        <v>716</v>
      </c>
    </row>
    <row r="207" spans="1:17" x14ac:dyDescent="0.3">
      <c r="A207" s="3" t="s">
        <v>220</v>
      </c>
      <c r="B207" s="3" t="s">
        <v>555</v>
      </c>
      <c r="C207" s="3">
        <v>24</v>
      </c>
      <c r="D207" s="3" t="s">
        <v>687</v>
      </c>
      <c r="E207" s="3" t="s">
        <v>695</v>
      </c>
      <c r="F207" s="3" t="s">
        <v>696</v>
      </c>
      <c r="G207" s="4">
        <v>44937</v>
      </c>
      <c r="H207" s="4">
        <v>45256</v>
      </c>
      <c r="I207" s="3">
        <v>19</v>
      </c>
      <c r="J207" s="3">
        <v>95341</v>
      </c>
      <c r="K207" s="3">
        <v>74</v>
      </c>
      <c r="L207" s="3">
        <v>2</v>
      </c>
      <c r="M207" s="3">
        <v>20</v>
      </c>
      <c r="N207" s="3" t="s">
        <v>701</v>
      </c>
      <c r="O207" s="3" t="s">
        <v>704</v>
      </c>
      <c r="P207" s="3" t="s">
        <v>719</v>
      </c>
      <c r="Q207" s="3" t="s">
        <v>714</v>
      </c>
    </row>
    <row r="208" spans="1:17" x14ac:dyDescent="0.3">
      <c r="A208" s="3" t="s">
        <v>221</v>
      </c>
      <c r="B208" s="3" t="s">
        <v>556</v>
      </c>
      <c r="C208" s="3">
        <v>58</v>
      </c>
      <c r="D208" s="3" t="s">
        <v>689</v>
      </c>
      <c r="E208" s="3" t="s">
        <v>692</v>
      </c>
      <c r="F208" s="3" t="s">
        <v>697</v>
      </c>
      <c r="G208" s="4">
        <v>45101</v>
      </c>
      <c r="H208" s="4">
        <v>45611</v>
      </c>
      <c r="I208" s="3">
        <v>15</v>
      </c>
      <c r="J208" s="3">
        <v>32292</v>
      </c>
      <c r="K208" s="3">
        <v>84</v>
      </c>
      <c r="L208" s="3">
        <v>2</v>
      </c>
      <c r="M208" s="3">
        <v>32</v>
      </c>
      <c r="N208" s="3" t="s">
        <v>702</v>
      </c>
      <c r="O208" s="3" t="s">
        <v>704</v>
      </c>
      <c r="P208" s="3" t="s">
        <v>717</v>
      </c>
      <c r="Q208" s="3" t="s">
        <v>716</v>
      </c>
    </row>
    <row r="209" spans="1:17" x14ac:dyDescent="0.3">
      <c r="A209" s="3" t="s">
        <v>222</v>
      </c>
      <c r="B209" s="3" t="s">
        <v>557</v>
      </c>
      <c r="C209" s="3">
        <v>40</v>
      </c>
      <c r="D209" s="3" t="s">
        <v>688</v>
      </c>
      <c r="E209" s="3" t="s">
        <v>692</v>
      </c>
      <c r="F209" s="3" t="s">
        <v>698</v>
      </c>
      <c r="G209" s="4">
        <v>45132</v>
      </c>
      <c r="H209" s="4">
        <v>46142</v>
      </c>
      <c r="I209" s="3">
        <v>9</v>
      </c>
      <c r="J209" s="3">
        <v>25395</v>
      </c>
      <c r="K209" s="3">
        <v>93</v>
      </c>
      <c r="L209" s="3">
        <v>2</v>
      </c>
      <c r="M209" s="3">
        <v>37</v>
      </c>
      <c r="N209" s="3" t="s">
        <v>703</v>
      </c>
      <c r="O209" s="3" t="s">
        <v>704</v>
      </c>
      <c r="P209" s="3" t="s">
        <v>713</v>
      </c>
      <c r="Q209" s="3" t="s">
        <v>716</v>
      </c>
    </row>
    <row r="210" spans="1:17" x14ac:dyDescent="0.3">
      <c r="A210" s="3" t="s">
        <v>223</v>
      </c>
      <c r="B210" s="3" t="s">
        <v>558</v>
      </c>
      <c r="C210" s="3">
        <v>43</v>
      </c>
      <c r="D210" s="3" t="s">
        <v>688</v>
      </c>
      <c r="E210" s="3" t="s">
        <v>692</v>
      </c>
      <c r="F210" s="3" t="s">
        <v>697</v>
      </c>
      <c r="G210" s="4">
        <v>44289</v>
      </c>
      <c r="H210" s="4"/>
      <c r="I210" s="3">
        <v>2</v>
      </c>
      <c r="J210" s="3">
        <v>34046</v>
      </c>
      <c r="K210" s="3">
        <v>99</v>
      </c>
      <c r="L210" s="3">
        <v>4</v>
      </c>
      <c r="M210" s="3">
        <v>2</v>
      </c>
      <c r="N210" s="3" t="s">
        <v>702</v>
      </c>
      <c r="O210" s="3" t="s">
        <v>705</v>
      </c>
      <c r="P210" s="3" t="s">
        <v>713</v>
      </c>
      <c r="Q210" s="3" t="s">
        <v>716</v>
      </c>
    </row>
    <row r="211" spans="1:17" x14ac:dyDescent="0.3">
      <c r="A211" s="3" t="s">
        <v>224</v>
      </c>
      <c r="B211" s="3" t="s">
        <v>559</v>
      </c>
      <c r="C211" s="3">
        <v>47</v>
      </c>
      <c r="D211" s="3" t="s">
        <v>686</v>
      </c>
      <c r="E211" s="3" t="s">
        <v>694</v>
      </c>
      <c r="F211" s="3" t="s">
        <v>698</v>
      </c>
      <c r="G211" s="4">
        <v>45034</v>
      </c>
      <c r="H211" s="4">
        <v>45401</v>
      </c>
      <c r="I211" s="3">
        <v>13</v>
      </c>
      <c r="J211" s="3">
        <v>74236</v>
      </c>
      <c r="K211" s="3">
        <v>72</v>
      </c>
      <c r="L211" s="3">
        <v>5</v>
      </c>
      <c r="M211" s="3">
        <v>8</v>
      </c>
      <c r="N211" s="3" t="s">
        <v>701</v>
      </c>
      <c r="O211" s="3" t="s">
        <v>704</v>
      </c>
      <c r="P211" s="3" t="s">
        <v>717</v>
      </c>
      <c r="Q211" s="3" t="s">
        <v>718</v>
      </c>
    </row>
    <row r="212" spans="1:17" x14ac:dyDescent="0.3">
      <c r="A212" s="3" t="s">
        <v>225</v>
      </c>
      <c r="B212" s="3" t="s">
        <v>560</v>
      </c>
      <c r="C212" s="3">
        <v>28</v>
      </c>
      <c r="D212" s="3" t="s">
        <v>685</v>
      </c>
      <c r="E212" s="3" t="s">
        <v>695</v>
      </c>
      <c r="F212" s="3" t="s">
        <v>698</v>
      </c>
      <c r="G212" s="4">
        <v>45958</v>
      </c>
      <c r="H212" s="4"/>
      <c r="I212" s="3">
        <v>17</v>
      </c>
      <c r="J212" s="3">
        <v>41691</v>
      </c>
      <c r="K212" s="3">
        <v>93</v>
      </c>
      <c r="L212" s="3">
        <v>2</v>
      </c>
      <c r="M212" s="3">
        <v>0</v>
      </c>
      <c r="N212" s="3" t="s">
        <v>703</v>
      </c>
      <c r="O212" s="3" t="s">
        <v>705</v>
      </c>
      <c r="P212" s="3" t="s">
        <v>715</v>
      </c>
      <c r="Q212" s="3" t="s">
        <v>718</v>
      </c>
    </row>
    <row r="213" spans="1:17" x14ac:dyDescent="0.3">
      <c r="A213" s="3" t="s">
        <v>226</v>
      </c>
      <c r="B213" s="3" t="s">
        <v>561</v>
      </c>
      <c r="C213" s="3">
        <v>55</v>
      </c>
      <c r="D213" s="3" t="s">
        <v>689</v>
      </c>
      <c r="E213" s="3" t="s">
        <v>695</v>
      </c>
      <c r="F213" s="3" t="s">
        <v>698</v>
      </c>
      <c r="G213" s="4">
        <v>44808</v>
      </c>
      <c r="H213" s="4"/>
      <c r="I213" s="3">
        <v>8</v>
      </c>
      <c r="J213" s="3">
        <v>57441</v>
      </c>
      <c r="K213" s="3">
        <v>84</v>
      </c>
      <c r="L213" s="3">
        <v>3</v>
      </c>
      <c r="M213" s="3">
        <v>9</v>
      </c>
      <c r="N213" s="3" t="s">
        <v>702</v>
      </c>
      <c r="O213" s="3" t="s">
        <v>705</v>
      </c>
      <c r="P213" s="3" t="s">
        <v>717</v>
      </c>
      <c r="Q213" s="3" t="s">
        <v>718</v>
      </c>
    </row>
    <row r="214" spans="1:17" x14ac:dyDescent="0.3">
      <c r="A214" s="3" t="s">
        <v>227</v>
      </c>
      <c r="B214" s="3" t="s">
        <v>562</v>
      </c>
      <c r="C214" s="3">
        <v>47</v>
      </c>
      <c r="D214" s="3" t="s">
        <v>687</v>
      </c>
      <c r="E214" s="3" t="s">
        <v>692</v>
      </c>
      <c r="F214" s="3" t="s">
        <v>696</v>
      </c>
      <c r="G214" s="4">
        <v>44583</v>
      </c>
      <c r="H214" s="4">
        <v>44738</v>
      </c>
      <c r="I214" s="3">
        <v>7</v>
      </c>
      <c r="J214" s="3">
        <v>33819</v>
      </c>
      <c r="K214" s="3">
        <v>73</v>
      </c>
      <c r="L214" s="3">
        <v>5</v>
      </c>
      <c r="M214" s="3">
        <v>2</v>
      </c>
      <c r="N214" s="3" t="s">
        <v>702</v>
      </c>
      <c r="O214" s="3" t="s">
        <v>704</v>
      </c>
      <c r="P214" s="3" t="s">
        <v>717</v>
      </c>
      <c r="Q214" s="3" t="s">
        <v>716</v>
      </c>
    </row>
    <row r="215" spans="1:17" x14ac:dyDescent="0.3">
      <c r="A215" s="3" t="s">
        <v>228</v>
      </c>
      <c r="B215" s="3" t="s">
        <v>563</v>
      </c>
      <c r="C215" s="3">
        <v>23</v>
      </c>
      <c r="D215" s="3" t="s">
        <v>689</v>
      </c>
      <c r="E215" s="3" t="s">
        <v>694</v>
      </c>
      <c r="F215" s="3" t="s">
        <v>696</v>
      </c>
      <c r="G215" s="4">
        <v>45421</v>
      </c>
      <c r="H215" s="4">
        <v>46012</v>
      </c>
      <c r="I215" s="3">
        <v>18</v>
      </c>
      <c r="J215" s="3">
        <v>53477</v>
      </c>
      <c r="K215" s="3">
        <v>94</v>
      </c>
      <c r="L215" s="3">
        <v>1</v>
      </c>
      <c r="M215" s="3">
        <v>8</v>
      </c>
      <c r="N215" s="3" t="s">
        <v>701</v>
      </c>
      <c r="O215" s="3" t="s">
        <v>704</v>
      </c>
      <c r="P215" s="3" t="s">
        <v>719</v>
      </c>
      <c r="Q215" s="3" t="s">
        <v>718</v>
      </c>
    </row>
    <row r="216" spans="1:17" x14ac:dyDescent="0.3">
      <c r="A216" s="3" t="s">
        <v>229</v>
      </c>
      <c r="B216" s="3" t="s">
        <v>564</v>
      </c>
      <c r="C216" s="3">
        <v>57</v>
      </c>
      <c r="D216" s="3" t="s">
        <v>687</v>
      </c>
      <c r="E216" s="3" t="s">
        <v>693</v>
      </c>
      <c r="F216" s="3" t="s">
        <v>696</v>
      </c>
      <c r="G216" s="4">
        <v>44789</v>
      </c>
      <c r="H216" s="4">
        <v>45532</v>
      </c>
      <c r="I216" s="3">
        <v>10</v>
      </c>
      <c r="J216" s="3">
        <v>43777</v>
      </c>
      <c r="K216" s="3">
        <v>91</v>
      </c>
      <c r="L216" s="3">
        <v>5</v>
      </c>
      <c r="M216" s="3">
        <v>14</v>
      </c>
      <c r="N216" s="3" t="s">
        <v>702</v>
      </c>
      <c r="O216" s="3" t="s">
        <v>704</v>
      </c>
      <c r="P216" s="3" t="s">
        <v>717</v>
      </c>
      <c r="Q216" s="3" t="s">
        <v>718</v>
      </c>
    </row>
    <row r="217" spans="1:17" x14ac:dyDescent="0.3">
      <c r="A217" s="3" t="s">
        <v>230</v>
      </c>
      <c r="B217" s="3" t="s">
        <v>565</v>
      </c>
      <c r="C217" s="3">
        <v>24</v>
      </c>
      <c r="D217" s="3" t="s">
        <v>687</v>
      </c>
      <c r="E217" s="3" t="s">
        <v>695</v>
      </c>
      <c r="F217" s="3" t="s">
        <v>696</v>
      </c>
      <c r="G217" s="4">
        <v>44812</v>
      </c>
      <c r="H217" s="4"/>
      <c r="I217" s="3">
        <v>14</v>
      </c>
      <c r="J217" s="3">
        <v>97856</v>
      </c>
      <c r="K217" s="3">
        <v>85</v>
      </c>
      <c r="L217" s="3">
        <v>1</v>
      </c>
      <c r="M217" s="3">
        <v>22</v>
      </c>
      <c r="N217" s="3" t="s">
        <v>701</v>
      </c>
      <c r="O217" s="3" t="s">
        <v>705</v>
      </c>
      <c r="P217" s="3" t="s">
        <v>719</v>
      </c>
      <c r="Q217" s="3" t="s">
        <v>714</v>
      </c>
    </row>
    <row r="218" spans="1:17" x14ac:dyDescent="0.3">
      <c r="A218" s="3" t="s">
        <v>231</v>
      </c>
      <c r="B218" s="3" t="s">
        <v>566</v>
      </c>
      <c r="C218" s="3">
        <v>54</v>
      </c>
      <c r="D218" s="3" t="s">
        <v>686</v>
      </c>
      <c r="E218" s="3" t="s">
        <v>694</v>
      </c>
      <c r="F218" s="3" t="s">
        <v>698</v>
      </c>
      <c r="G218" s="4">
        <v>45571</v>
      </c>
      <c r="H218" s="4"/>
      <c r="I218" s="3">
        <v>5</v>
      </c>
      <c r="J218" s="3">
        <v>64306</v>
      </c>
      <c r="K218" s="3">
        <v>82</v>
      </c>
      <c r="L218" s="3">
        <v>2</v>
      </c>
      <c r="M218" s="3">
        <v>34</v>
      </c>
      <c r="N218" s="3" t="s">
        <v>702</v>
      </c>
      <c r="O218" s="3" t="s">
        <v>705</v>
      </c>
      <c r="P218" s="3" t="s">
        <v>717</v>
      </c>
      <c r="Q218" s="3" t="s">
        <v>718</v>
      </c>
    </row>
    <row r="219" spans="1:17" x14ac:dyDescent="0.3">
      <c r="A219" s="3" t="s">
        <v>232</v>
      </c>
      <c r="B219" s="3" t="s">
        <v>567</v>
      </c>
      <c r="C219" s="3">
        <v>30</v>
      </c>
      <c r="D219" s="3" t="s">
        <v>689</v>
      </c>
      <c r="E219" s="3" t="s">
        <v>692</v>
      </c>
      <c r="F219" s="3" t="s">
        <v>697</v>
      </c>
      <c r="G219" s="4">
        <v>44690</v>
      </c>
      <c r="H219" s="4">
        <v>45395</v>
      </c>
      <c r="I219" s="3">
        <v>14</v>
      </c>
      <c r="J219" s="3">
        <v>79592</v>
      </c>
      <c r="K219" s="3">
        <v>87</v>
      </c>
      <c r="L219" s="3">
        <v>5</v>
      </c>
      <c r="M219" s="3">
        <v>8</v>
      </c>
      <c r="N219" s="3" t="s">
        <v>702</v>
      </c>
      <c r="O219" s="3" t="s">
        <v>704</v>
      </c>
      <c r="P219" s="3" t="s">
        <v>715</v>
      </c>
      <c r="Q219" s="3" t="s">
        <v>718</v>
      </c>
    </row>
    <row r="220" spans="1:17" x14ac:dyDescent="0.3">
      <c r="A220" s="3" t="s">
        <v>233</v>
      </c>
      <c r="B220" s="3" t="s">
        <v>568</v>
      </c>
      <c r="C220" s="3">
        <v>34</v>
      </c>
      <c r="D220" s="3" t="s">
        <v>686</v>
      </c>
      <c r="E220" s="3" t="s">
        <v>692</v>
      </c>
      <c r="F220" s="3" t="s">
        <v>698</v>
      </c>
      <c r="G220" s="4">
        <v>44694</v>
      </c>
      <c r="H220" s="4"/>
      <c r="I220" s="3">
        <v>12</v>
      </c>
      <c r="J220" s="3">
        <v>37119</v>
      </c>
      <c r="K220" s="3">
        <v>87</v>
      </c>
      <c r="L220" s="3">
        <v>2</v>
      </c>
      <c r="M220" s="3">
        <v>3</v>
      </c>
      <c r="N220" s="3" t="s">
        <v>702</v>
      </c>
      <c r="O220" s="3" t="s">
        <v>705</v>
      </c>
      <c r="P220" s="3" t="s">
        <v>715</v>
      </c>
      <c r="Q220" s="3" t="s">
        <v>716</v>
      </c>
    </row>
    <row r="221" spans="1:17" x14ac:dyDescent="0.3">
      <c r="A221" s="3" t="s">
        <v>234</v>
      </c>
      <c r="B221" s="3" t="s">
        <v>569</v>
      </c>
      <c r="C221" s="3">
        <v>33</v>
      </c>
      <c r="D221" s="3" t="s">
        <v>687</v>
      </c>
      <c r="E221" s="3" t="s">
        <v>695</v>
      </c>
      <c r="F221" s="3" t="s">
        <v>696</v>
      </c>
      <c r="G221" s="4">
        <v>44969</v>
      </c>
      <c r="H221" s="4">
        <v>45208</v>
      </c>
      <c r="I221" s="3">
        <v>16</v>
      </c>
      <c r="J221" s="3">
        <v>52379</v>
      </c>
      <c r="K221" s="3">
        <v>97</v>
      </c>
      <c r="L221" s="3">
        <v>3</v>
      </c>
      <c r="M221" s="3">
        <v>19</v>
      </c>
      <c r="N221" s="3" t="s">
        <v>703</v>
      </c>
      <c r="O221" s="3" t="s">
        <v>704</v>
      </c>
      <c r="P221" s="3" t="s">
        <v>715</v>
      </c>
      <c r="Q221" s="3" t="s">
        <v>718</v>
      </c>
    </row>
    <row r="222" spans="1:17" x14ac:dyDescent="0.3">
      <c r="A222" s="3" t="s">
        <v>235</v>
      </c>
      <c r="B222" s="3" t="s">
        <v>570</v>
      </c>
      <c r="C222" s="3">
        <v>51</v>
      </c>
      <c r="D222" s="3" t="s">
        <v>685</v>
      </c>
      <c r="E222" s="3" t="s">
        <v>695</v>
      </c>
      <c r="F222" s="3" t="s">
        <v>696</v>
      </c>
      <c r="G222" s="4">
        <v>44630</v>
      </c>
      <c r="H222" s="4">
        <v>44960</v>
      </c>
      <c r="I222" s="3">
        <v>13</v>
      </c>
      <c r="J222" s="3">
        <v>56369</v>
      </c>
      <c r="K222" s="3">
        <v>87</v>
      </c>
      <c r="L222" s="3">
        <v>3</v>
      </c>
      <c r="M222" s="3">
        <v>18</v>
      </c>
      <c r="N222" s="3" t="s">
        <v>702</v>
      </c>
      <c r="O222" s="3" t="s">
        <v>704</v>
      </c>
      <c r="P222" s="3" t="s">
        <v>717</v>
      </c>
      <c r="Q222" s="3" t="s">
        <v>718</v>
      </c>
    </row>
    <row r="223" spans="1:17" x14ac:dyDescent="0.3">
      <c r="A223" s="3" t="s">
        <v>236</v>
      </c>
      <c r="B223" s="3" t="s">
        <v>571</v>
      </c>
      <c r="C223" s="3">
        <v>40</v>
      </c>
      <c r="D223" s="3" t="s">
        <v>686</v>
      </c>
      <c r="E223" s="3" t="s">
        <v>693</v>
      </c>
      <c r="F223" s="3" t="s">
        <v>697</v>
      </c>
      <c r="G223" s="4">
        <v>45151</v>
      </c>
      <c r="H223" s="4"/>
      <c r="I223" s="3">
        <v>16</v>
      </c>
      <c r="J223" s="3">
        <v>86080</v>
      </c>
      <c r="K223" s="3">
        <v>73</v>
      </c>
      <c r="L223" s="3">
        <v>4</v>
      </c>
      <c r="M223" s="3">
        <v>20</v>
      </c>
      <c r="N223" s="3" t="s">
        <v>703</v>
      </c>
      <c r="O223" s="3" t="s">
        <v>705</v>
      </c>
      <c r="P223" s="3" t="s">
        <v>713</v>
      </c>
      <c r="Q223" s="3" t="s">
        <v>714</v>
      </c>
    </row>
    <row r="224" spans="1:17" x14ac:dyDescent="0.3">
      <c r="A224" s="3" t="s">
        <v>237</v>
      </c>
      <c r="B224" s="3" t="s">
        <v>572</v>
      </c>
      <c r="C224" s="3">
        <v>47</v>
      </c>
      <c r="D224" s="3" t="s">
        <v>690</v>
      </c>
      <c r="E224" s="3" t="s">
        <v>695</v>
      </c>
      <c r="F224" s="3" t="s">
        <v>696</v>
      </c>
      <c r="G224" s="4">
        <v>44956</v>
      </c>
      <c r="H224" s="4"/>
      <c r="I224" s="3">
        <v>5</v>
      </c>
      <c r="J224" s="3">
        <v>27125</v>
      </c>
      <c r="K224" s="3">
        <v>78</v>
      </c>
      <c r="L224" s="3">
        <v>5</v>
      </c>
      <c r="M224" s="3">
        <v>37</v>
      </c>
      <c r="N224" s="3" t="s">
        <v>701</v>
      </c>
      <c r="O224" s="3" t="s">
        <v>705</v>
      </c>
      <c r="P224" s="3" t="s">
        <v>717</v>
      </c>
      <c r="Q224" s="3" t="s">
        <v>716</v>
      </c>
    </row>
    <row r="225" spans="1:17" x14ac:dyDescent="0.3">
      <c r="A225" s="3" t="s">
        <v>238</v>
      </c>
      <c r="B225" s="3" t="s">
        <v>573</v>
      </c>
      <c r="C225" s="3">
        <v>39</v>
      </c>
      <c r="D225" s="3" t="s">
        <v>685</v>
      </c>
      <c r="E225" s="3" t="s">
        <v>691</v>
      </c>
      <c r="F225" s="3" t="s">
        <v>699</v>
      </c>
      <c r="G225" s="4">
        <v>45671</v>
      </c>
      <c r="H225" s="4"/>
      <c r="I225" s="3">
        <v>8</v>
      </c>
      <c r="J225" s="3">
        <v>74786</v>
      </c>
      <c r="K225" s="3">
        <v>88</v>
      </c>
      <c r="L225" s="3">
        <v>2</v>
      </c>
      <c r="M225" s="3">
        <v>31</v>
      </c>
      <c r="N225" s="3" t="s">
        <v>701</v>
      </c>
      <c r="O225" s="3" t="s">
        <v>705</v>
      </c>
      <c r="P225" s="3" t="s">
        <v>713</v>
      </c>
      <c r="Q225" s="3" t="s">
        <v>718</v>
      </c>
    </row>
    <row r="226" spans="1:17" x14ac:dyDescent="0.3">
      <c r="A226" s="3" t="s">
        <v>239</v>
      </c>
      <c r="B226" s="3" t="s">
        <v>574</v>
      </c>
      <c r="C226" s="3">
        <v>37</v>
      </c>
      <c r="D226" s="3" t="s">
        <v>689</v>
      </c>
      <c r="E226" s="3" t="s">
        <v>694</v>
      </c>
      <c r="F226" s="3" t="s">
        <v>698</v>
      </c>
      <c r="G226" s="4">
        <v>45537</v>
      </c>
      <c r="H226" s="4"/>
      <c r="I226" s="3">
        <v>6</v>
      </c>
      <c r="J226" s="3">
        <v>71160</v>
      </c>
      <c r="K226" s="3">
        <v>75</v>
      </c>
      <c r="L226" s="3">
        <v>2</v>
      </c>
      <c r="M226" s="3">
        <v>34</v>
      </c>
      <c r="N226" s="3" t="s">
        <v>702</v>
      </c>
      <c r="O226" s="3" t="s">
        <v>705</v>
      </c>
      <c r="P226" s="3" t="s">
        <v>713</v>
      </c>
      <c r="Q226" s="3" t="s">
        <v>718</v>
      </c>
    </row>
    <row r="227" spans="1:17" x14ac:dyDescent="0.3">
      <c r="A227" s="3" t="s">
        <v>240</v>
      </c>
      <c r="B227" s="3" t="s">
        <v>575</v>
      </c>
      <c r="C227" s="3">
        <v>23</v>
      </c>
      <c r="D227" s="3" t="s">
        <v>690</v>
      </c>
      <c r="E227" s="3" t="s">
        <v>692</v>
      </c>
      <c r="F227" s="3" t="s">
        <v>700</v>
      </c>
      <c r="G227" s="4">
        <v>44573</v>
      </c>
      <c r="H227" s="4">
        <v>45736</v>
      </c>
      <c r="I227" s="3">
        <v>14</v>
      </c>
      <c r="J227" s="3">
        <v>43021</v>
      </c>
      <c r="K227" s="3">
        <v>96</v>
      </c>
      <c r="L227" s="3">
        <v>2</v>
      </c>
      <c r="M227" s="3">
        <v>4</v>
      </c>
      <c r="N227" s="3" t="s">
        <v>701</v>
      </c>
      <c r="O227" s="3" t="s">
        <v>704</v>
      </c>
      <c r="P227" s="3" t="s">
        <v>719</v>
      </c>
      <c r="Q227" s="3" t="s">
        <v>718</v>
      </c>
    </row>
    <row r="228" spans="1:17" x14ac:dyDescent="0.3">
      <c r="A228" s="3" t="s">
        <v>241</v>
      </c>
      <c r="B228" s="3" t="s">
        <v>576</v>
      </c>
      <c r="C228" s="3">
        <v>53</v>
      </c>
      <c r="D228" s="3" t="s">
        <v>689</v>
      </c>
      <c r="E228" s="3" t="s">
        <v>693</v>
      </c>
      <c r="F228" s="3" t="s">
        <v>700</v>
      </c>
      <c r="G228" s="4">
        <v>44506</v>
      </c>
      <c r="H228" s="4">
        <v>45043</v>
      </c>
      <c r="I228" s="3">
        <v>20</v>
      </c>
      <c r="J228" s="3">
        <v>108588</v>
      </c>
      <c r="K228" s="3">
        <v>91</v>
      </c>
      <c r="L228" s="3">
        <v>5</v>
      </c>
      <c r="M228" s="3">
        <v>30</v>
      </c>
      <c r="N228" s="3" t="s">
        <v>701</v>
      </c>
      <c r="O228" s="3" t="s">
        <v>704</v>
      </c>
      <c r="P228" s="3" t="s">
        <v>717</v>
      </c>
      <c r="Q228" s="3" t="s">
        <v>714</v>
      </c>
    </row>
    <row r="229" spans="1:17" x14ac:dyDescent="0.3">
      <c r="A229" s="3" t="s">
        <v>242</v>
      </c>
      <c r="B229" s="3" t="s">
        <v>577</v>
      </c>
      <c r="C229" s="3">
        <v>55</v>
      </c>
      <c r="D229" s="3" t="s">
        <v>687</v>
      </c>
      <c r="E229" s="3" t="s">
        <v>694</v>
      </c>
      <c r="F229" s="3" t="s">
        <v>700</v>
      </c>
      <c r="G229" s="4">
        <v>45196</v>
      </c>
      <c r="H229" s="4">
        <v>45299</v>
      </c>
      <c r="I229" s="3">
        <v>1</v>
      </c>
      <c r="J229" s="3">
        <v>94391</v>
      </c>
      <c r="K229" s="3">
        <v>93</v>
      </c>
      <c r="L229" s="3">
        <v>3</v>
      </c>
      <c r="M229" s="3">
        <v>34</v>
      </c>
      <c r="N229" s="3" t="s">
        <v>702</v>
      </c>
      <c r="O229" s="3" t="s">
        <v>704</v>
      </c>
      <c r="P229" s="3" t="s">
        <v>717</v>
      </c>
      <c r="Q229" s="3" t="s">
        <v>714</v>
      </c>
    </row>
    <row r="230" spans="1:17" x14ac:dyDescent="0.3">
      <c r="A230" s="3" t="s">
        <v>243</v>
      </c>
      <c r="B230" s="3" t="s">
        <v>578</v>
      </c>
      <c r="C230" s="3">
        <v>32</v>
      </c>
      <c r="D230" s="3" t="s">
        <v>690</v>
      </c>
      <c r="E230" s="3" t="s">
        <v>692</v>
      </c>
      <c r="F230" s="3" t="s">
        <v>697</v>
      </c>
      <c r="G230" s="4">
        <v>44232</v>
      </c>
      <c r="H230" s="4"/>
      <c r="I230" s="3">
        <v>5</v>
      </c>
      <c r="J230" s="3">
        <v>56584</v>
      </c>
      <c r="K230" s="3">
        <v>76</v>
      </c>
      <c r="L230" s="3">
        <v>5</v>
      </c>
      <c r="M230" s="3">
        <v>33</v>
      </c>
      <c r="N230" s="3" t="s">
        <v>702</v>
      </c>
      <c r="O230" s="3" t="s">
        <v>705</v>
      </c>
      <c r="P230" s="3" t="s">
        <v>715</v>
      </c>
      <c r="Q230" s="3" t="s">
        <v>718</v>
      </c>
    </row>
    <row r="231" spans="1:17" x14ac:dyDescent="0.3">
      <c r="A231" s="3" t="s">
        <v>244</v>
      </c>
      <c r="B231" s="3" t="s">
        <v>579</v>
      </c>
      <c r="C231" s="3">
        <v>38</v>
      </c>
      <c r="D231" s="3" t="s">
        <v>689</v>
      </c>
      <c r="E231" s="3" t="s">
        <v>692</v>
      </c>
      <c r="F231" s="3" t="s">
        <v>699</v>
      </c>
      <c r="G231" s="4">
        <v>45866</v>
      </c>
      <c r="H231" s="4"/>
      <c r="I231" s="3">
        <v>13</v>
      </c>
      <c r="J231" s="3">
        <v>85161</v>
      </c>
      <c r="K231" s="3">
        <v>88</v>
      </c>
      <c r="L231" s="3">
        <v>2</v>
      </c>
      <c r="M231" s="3">
        <v>14</v>
      </c>
      <c r="N231" s="3" t="s">
        <v>702</v>
      </c>
      <c r="O231" s="3" t="s">
        <v>705</v>
      </c>
      <c r="P231" s="3" t="s">
        <v>713</v>
      </c>
      <c r="Q231" s="3" t="s">
        <v>714</v>
      </c>
    </row>
    <row r="232" spans="1:17" x14ac:dyDescent="0.3">
      <c r="A232" s="3" t="s">
        <v>245</v>
      </c>
      <c r="B232" s="3" t="s">
        <v>580</v>
      </c>
      <c r="C232" s="3">
        <v>26</v>
      </c>
      <c r="D232" s="3" t="s">
        <v>689</v>
      </c>
      <c r="E232" s="3" t="s">
        <v>694</v>
      </c>
      <c r="F232" s="3" t="s">
        <v>698</v>
      </c>
      <c r="G232" s="4">
        <v>45597</v>
      </c>
      <c r="H232" s="4">
        <v>45751</v>
      </c>
      <c r="I232" s="3">
        <v>18</v>
      </c>
      <c r="J232" s="3">
        <v>87390</v>
      </c>
      <c r="K232" s="3">
        <v>71</v>
      </c>
      <c r="L232" s="3">
        <v>1</v>
      </c>
      <c r="M232" s="3">
        <v>10</v>
      </c>
      <c r="N232" s="3" t="s">
        <v>703</v>
      </c>
      <c r="O232" s="3" t="s">
        <v>704</v>
      </c>
      <c r="P232" s="3" t="s">
        <v>715</v>
      </c>
      <c r="Q232" s="3" t="s">
        <v>714</v>
      </c>
    </row>
    <row r="233" spans="1:17" x14ac:dyDescent="0.3">
      <c r="A233" s="3" t="s">
        <v>246</v>
      </c>
      <c r="B233" s="3" t="s">
        <v>581</v>
      </c>
      <c r="C233" s="3">
        <v>42</v>
      </c>
      <c r="D233" s="3" t="s">
        <v>687</v>
      </c>
      <c r="E233" s="3" t="s">
        <v>692</v>
      </c>
      <c r="F233" s="3" t="s">
        <v>697</v>
      </c>
      <c r="G233" s="4">
        <v>45220</v>
      </c>
      <c r="H233" s="4"/>
      <c r="I233" s="3">
        <v>2</v>
      </c>
      <c r="J233" s="3">
        <v>55115</v>
      </c>
      <c r="K233" s="3">
        <v>76</v>
      </c>
      <c r="L233" s="3">
        <v>5</v>
      </c>
      <c r="M233" s="3">
        <v>30</v>
      </c>
      <c r="N233" s="3" t="s">
        <v>702</v>
      </c>
      <c r="O233" s="3" t="s">
        <v>705</v>
      </c>
      <c r="P233" s="3" t="s">
        <v>713</v>
      </c>
      <c r="Q233" s="3" t="s">
        <v>718</v>
      </c>
    </row>
    <row r="234" spans="1:17" x14ac:dyDescent="0.3">
      <c r="A234" s="3" t="s">
        <v>247</v>
      </c>
      <c r="B234" s="3" t="s">
        <v>582</v>
      </c>
      <c r="C234" s="3">
        <v>55</v>
      </c>
      <c r="D234" s="3" t="s">
        <v>687</v>
      </c>
      <c r="E234" s="3" t="s">
        <v>692</v>
      </c>
      <c r="F234" s="3" t="s">
        <v>696</v>
      </c>
      <c r="G234" s="4">
        <v>44292</v>
      </c>
      <c r="H234" s="4">
        <v>44956</v>
      </c>
      <c r="I234" s="3">
        <v>11</v>
      </c>
      <c r="J234" s="3">
        <v>27052</v>
      </c>
      <c r="K234" s="3">
        <v>100</v>
      </c>
      <c r="L234" s="3">
        <v>2</v>
      </c>
      <c r="M234" s="3">
        <v>37</v>
      </c>
      <c r="N234" s="3" t="s">
        <v>703</v>
      </c>
      <c r="O234" s="3" t="s">
        <v>704</v>
      </c>
      <c r="P234" s="3" t="s">
        <v>717</v>
      </c>
      <c r="Q234" s="3" t="s">
        <v>716</v>
      </c>
    </row>
    <row r="235" spans="1:17" x14ac:dyDescent="0.3">
      <c r="A235" s="3" t="s">
        <v>248</v>
      </c>
      <c r="B235" s="3" t="s">
        <v>583</v>
      </c>
      <c r="C235" s="3">
        <v>25</v>
      </c>
      <c r="D235" s="3" t="s">
        <v>686</v>
      </c>
      <c r="E235" s="3" t="s">
        <v>691</v>
      </c>
      <c r="F235" s="3" t="s">
        <v>697</v>
      </c>
      <c r="G235" s="4">
        <v>45737</v>
      </c>
      <c r="H235" s="4"/>
      <c r="I235" s="3">
        <v>8</v>
      </c>
      <c r="J235" s="3">
        <v>99277</v>
      </c>
      <c r="K235" s="3">
        <v>96</v>
      </c>
      <c r="L235" s="3">
        <v>4</v>
      </c>
      <c r="M235" s="3">
        <v>34</v>
      </c>
      <c r="N235" s="3" t="s">
        <v>702</v>
      </c>
      <c r="O235" s="3" t="s">
        <v>705</v>
      </c>
      <c r="P235" s="3" t="s">
        <v>719</v>
      </c>
      <c r="Q235" s="3" t="s">
        <v>714</v>
      </c>
    </row>
    <row r="236" spans="1:17" x14ac:dyDescent="0.3">
      <c r="A236" s="3" t="s">
        <v>249</v>
      </c>
      <c r="B236" s="3" t="s">
        <v>584</v>
      </c>
      <c r="C236" s="3">
        <v>53</v>
      </c>
      <c r="D236" s="3" t="s">
        <v>688</v>
      </c>
      <c r="E236" s="3" t="s">
        <v>693</v>
      </c>
      <c r="F236" s="3" t="s">
        <v>700</v>
      </c>
      <c r="G236" s="4">
        <v>44983</v>
      </c>
      <c r="H236" s="4">
        <v>45233</v>
      </c>
      <c r="I236" s="3">
        <v>4</v>
      </c>
      <c r="J236" s="3">
        <v>82290</v>
      </c>
      <c r="K236" s="3">
        <v>77</v>
      </c>
      <c r="L236" s="3">
        <v>1</v>
      </c>
      <c r="M236" s="3">
        <v>21</v>
      </c>
      <c r="N236" s="3" t="s">
        <v>701</v>
      </c>
      <c r="O236" s="3" t="s">
        <v>704</v>
      </c>
      <c r="P236" s="3" t="s">
        <v>717</v>
      </c>
      <c r="Q236" s="3" t="s">
        <v>714</v>
      </c>
    </row>
    <row r="237" spans="1:17" x14ac:dyDescent="0.3">
      <c r="A237" s="3" t="s">
        <v>250</v>
      </c>
      <c r="B237" s="3" t="s">
        <v>585</v>
      </c>
      <c r="C237" s="3">
        <v>41</v>
      </c>
      <c r="D237" s="3" t="s">
        <v>690</v>
      </c>
      <c r="E237" s="3" t="s">
        <v>693</v>
      </c>
      <c r="F237" s="3" t="s">
        <v>698</v>
      </c>
      <c r="G237" s="4">
        <v>45771</v>
      </c>
      <c r="H237" s="4"/>
      <c r="I237" s="3">
        <v>16</v>
      </c>
      <c r="J237" s="3">
        <v>54902</v>
      </c>
      <c r="K237" s="3">
        <v>81</v>
      </c>
      <c r="L237" s="3">
        <v>5</v>
      </c>
      <c r="M237" s="3">
        <v>24</v>
      </c>
      <c r="N237" s="3" t="s">
        <v>702</v>
      </c>
      <c r="O237" s="3" t="s">
        <v>705</v>
      </c>
      <c r="P237" s="3" t="s">
        <v>713</v>
      </c>
      <c r="Q237" s="3" t="s">
        <v>718</v>
      </c>
    </row>
    <row r="238" spans="1:17" x14ac:dyDescent="0.3">
      <c r="A238" s="3" t="s">
        <v>251</v>
      </c>
      <c r="B238" s="3" t="s">
        <v>586</v>
      </c>
      <c r="C238" s="3">
        <v>26</v>
      </c>
      <c r="D238" s="3" t="s">
        <v>687</v>
      </c>
      <c r="E238" s="3" t="s">
        <v>693</v>
      </c>
      <c r="F238" s="3" t="s">
        <v>696</v>
      </c>
      <c r="G238" s="4">
        <v>44577</v>
      </c>
      <c r="H238" s="4"/>
      <c r="I238" s="3">
        <v>3</v>
      </c>
      <c r="J238" s="3">
        <v>35752</v>
      </c>
      <c r="K238" s="3">
        <v>78</v>
      </c>
      <c r="L238" s="3">
        <v>2</v>
      </c>
      <c r="M238" s="3">
        <v>24</v>
      </c>
      <c r="N238" s="3" t="s">
        <v>701</v>
      </c>
      <c r="O238" s="3" t="s">
        <v>705</v>
      </c>
      <c r="P238" s="3" t="s">
        <v>715</v>
      </c>
      <c r="Q238" s="3" t="s">
        <v>716</v>
      </c>
    </row>
    <row r="239" spans="1:17" x14ac:dyDescent="0.3">
      <c r="A239" s="3" t="s">
        <v>252</v>
      </c>
      <c r="B239" s="3" t="s">
        <v>587</v>
      </c>
      <c r="C239" s="3">
        <v>41</v>
      </c>
      <c r="D239" s="3" t="s">
        <v>686</v>
      </c>
      <c r="E239" s="3" t="s">
        <v>692</v>
      </c>
      <c r="F239" s="3" t="s">
        <v>700</v>
      </c>
      <c r="G239" s="4">
        <v>45802</v>
      </c>
      <c r="H239" s="4">
        <v>46142</v>
      </c>
      <c r="I239" s="3">
        <v>1</v>
      </c>
      <c r="J239" s="3">
        <v>65405</v>
      </c>
      <c r="K239" s="3">
        <v>84</v>
      </c>
      <c r="L239" s="3">
        <v>3</v>
      </c>
      <c r="M239" s="3">
        <v>17</v>
      </c>
      <c r="N239" s="3" t="s">
        <v>703</v>
      </c>
      <c r="O239" s="3" t="s">
        <v>704</v>
      </c>
      <c r="P239" s="3" t="s">
        <v>713</v>
      </c>
      <c r="Q239" s="3" t="s">
        <v>718</v>
      </c>
    </row>
    <row r="240" spans="1:17" x14ac:dyDescent="0.3">
      <c r="A240" s="3" t="s">
        <v>253</v>
      </c>
      <c r="B240" s="3" t="s">
        <v>588</v>
      </c>
      <c r="C240" s="3">
        <v>48</v>
      </c>
      <c r="D240" s="3" t="s">
        <v>689</v>
      </c>
      <c r="E240" s="3" t="s">
        <v>695</v>
      </c>
      <c r="F240" s="3" t="s">
        <v>697</v>
      </c>
      <c r="G240" s="4">
        <v>44468</v>
      </c>
      <c r="H240" s="4">
        <v>44941</v>
      </c>
      <c r="I240" s="3">
        <v>17</v>
      </c>
      <c r="J240" s="3">
        <v>78483</v>
      </c>
      <c r="K240" s="3">
        <v>73</v>
      </c>
      <c r="L240" s="3">
        <v>1</v>
      </c>
      <c r="M240" s="3">
        <v>5</v>
      </c>
      <c r="N240" s="3" t="s">
        <v>702</v>
      </c>
      <c r="O240" s="3" t="s">
        <v>704</v>
      </c>
      <c r="P240" s="3" t="s">
        <v>717</v>
      </c>
      <c r="Q240" s="3" t="s">
        <v>718</v>
      </c>
    </row>
    <row r="241" spans="1:17" x14ac:dyDescent="0.3">
      <c r="A241" s="3" t="s">
        <v>254</v>
      </c>
      <c r="B241" s="3" t="s">
        <v>589</v>
      </c>
      <c r="C241" s="3">
        <v>45</v>
      </c>
      <c r="D241" s="3" t="s">
        <v>690</v>
      </c>
      <c r="E241" s="3" t="s">
        <v>693</v>
      </c>
      <c r="F241" s="3" t="s">
        <v>698</v>
      </c>
      <c r="G241" s="4">
        <v>45332</v>
      </c>
      <c r="H241" s="4">
        <v>46086</v>
      </c>
      <c r="I241" s="3">
        <v>13</v>
      </c>
      <c r="J241" s="3">
        <v>36101</v>
      </c>
      <c r="K241" s="3">
        <v>93</v>
      </c>
      <c r="L241" s="3">
        <v>5</v>
      </c>
      <c r="M241" s="3">
        <v>15</v>
      </c>
      <c r="N241" s="3" t="s">
        <v>701</v>
      </c>
      <c r="O241" s="3" t="s">
        <v>704</v>
      </c>
      <c r="P241" s="3" t="s">
        <v>713</v>
      </c>
      <c r="Q241" s="3" t="s">
        <v>716</v>
      </c>
    </row>
    <row r="242" spans="1:17" x14ac:dyDescent="0.3">
      <c r="A242" s="3" t="s">
        <v>255</v>
      </c>
      <c r="B242" s="3" t="s">
        <v>590</v>
      </c>
      <c r="C242" s="3">
        <v>31</v>
      </c>
      <c r="D242" s="3" t="s">
        <v>685</v>
      </c>
      <c r="E242" s="3" t="s">
        <v>693</v>
      </c>
      <c r="F242" s="3" t="s">
        <v>699</v>
      </c>
      <c r="G242" s="4">
        <v>45264</v>
      </c>
      <c r="H242" s="4">
        <v>46133</v>
      </c>
      <c r="I242" s="3">
        <v>9</v>
      </c>
      <c r="J242" s="3">
        <v>89634</v>
      </c>
      <c r="K242" s="3">
        <v>74</v>
      </c>
      <c r="L242" s="3">
        <v>1</v>
      </c>
      <c r="M242" s="3">
        <v>10</v>
      </c>
      <c r="N242" s="3" t="s">
        <v>702</v>
      </c>
      <c r="O242" s="3" t="s">
        <v>704</v>
      </c>
      <c r="P242" s="3" t="s">
        <v>715</v>
      </c>
      <c r="Q242" s="3" t="s">
        <v>714</v>
      </c>
    </row>
    <row r="243" spans="1:17" x14ac:dyDescent="0.3">
      <c r="A243" s="3" t="s">
        <v>256</v>
      </c>
      <c r="B243" s="3" t="s">
        <v>591</v>
      </c>
      <c r="C243" s="3">
        <v>40</v>
      </c>
      <c r="D243" s="3" t="s">
        <v>689</v>
      </c>
      <c r="E243" s="3" t="s">
        <v>692</v>
      </c>
      <c r="F243" s="3" t="s">
        <v>699</v>
      </c>
      <c r="G243" s="4">
        <v>44762</v>
      </c>
      <c r="H243" s="4"/>
      <c r="I243" s="3">
        <v>9</v>
      </c>
      <c r="J243" s="3">
        <v>57321</v>
      </c>
      <c r="K243" s="3">
        <v>93</v>
      </c>
      <c r="L243" s="3">
        <v>4</v>
      </c>
      <c r="M243" s="3">
        <v>38</v>
      </c>
      <c r="N243" s="3" t="s">
        <v>701</v>
      </c>
      <c r="O243" s="3" t="s">
        <v>705</v>
      </c>
      <c r="P243" s="3" t="s">
        <v>713</v>
      </c>
      <c r="Q243" s="3" t="s">
        <v>718</v>
      </c>
    </row>
    <row r="244" spans="1:17" x14ac:dyDescent="0.3">
      <c r="A244" s="3" t="s">
        <v>257</v>
      </c>
      <c r="B244" s="3" t="s">
        <v>592</v>
      </c>
      <c r="C244" s="3">
        <v>27</v>
      </c>
      <c r="D244" s="3" t="s">
        <v>685</v>
      </c>
      <c r="E244" s="3" t="s">
        <v>693</v>
      </c>
      <c r="F244" s="3" t="s">
        <v>700</v>
      </c>
      <c r="G244" s="4">
        <v>44597</v>
      </c>
      <c r="H244" s="4"/>
      <c r="I244" s="3">
        <v>13</v>
      </c>
      <c r="J244" s="3">
        <v>68544</v>
      </c>
      <c r="K244" s="3">
        <v>96</v>
      </c>
      <c r="L244" s="3">
        <v>5</v>
      </c>
      <c r="M244" s="3">
        <v>24</v>
      </c>
      <c r="N244" s="3" t="s">
        <v>702</v>
      </c>
      <c r="O244" s="3" t="s">
        <v>705</v>
      </c>
      <c r="P244" s="3" t="s">
        <v>715</v>
      </c>
      <c r="Q244" s="3" t="s">
        <v>718</v>
      </c>
    </row>
    <row r="245" spans="1:17" x14ac:dyDescent="0.3">
      <c r="A245" s="3" t="s">
        <v>258</v>
      </c>
      <c r="B245" s="3" t="s">
        <v>593</v>
      </c>
      <c r="C245" s="3">
        <v>48</v>
      </c>
      <c r="D245" s="3" t="s">
        <v>688</v>
      </c>
      <c r="E245" s="3" t="s">
        <v>695</v>
      </c>
      <c r="F245" s="3" t="s">
        <v>696</v>
      </c>
      <c r="G245" s="4">
        <v>45098</v>
      </c>
      <c r="H245" s="4"/>
      <c r="I245" s="3">
        <v>10</v>
      </c>
      <c r="J245" s="3">
        <v>67030</v>
      </c>
      <c r="K245" s="3">
        <v>89</v>
      </c>
      <c r="L245" s="3">
        <v>2</v>
      </c>
      <c r="M245" s="3">
        <v>30</v>
      </c>
      <c r="N245" s="3" t="s">
        <v>702</v>
      </c>
      <c r="O245" s="3" t="s">
        <v>705</v>
      </c>
      <c r="P245" s="3" t="s">
        <v>717</v>
      </c>
      <c r="Q245" s="3" t="s">
        <v>718</v>
      </c>
    </row>
    <row r="246" spans="1:17" x14ac:dyDescent="0.3">
      <c r="A246" s="3" t="s">
        <v>259</v>
      </c>
      <c r="B246" s="3" t="s">
        <v>594</v>
      </c>
      <c r="C246" s="3">
        <v>41</v>
      </c>
      <c r="D246" s="3" t="s">
        <v>686</v>
      </c>
      <c r="E246" s="3" t="s">
        <v>694</v>
      </c>
      <c r="F246" s="3" t="s">
        <v>697</v>
      </c>
      <c r="G246" s="4">
        <v>44560</v>
      </c>
      <c r="H246" s="4"/>
      <c r="I246" s="3">
        <v>8</v>
      </c>
      <c r="J246" s="3">
        <v>67714</v>
      </c>
      <c r="K246" s="3">
        <v>82</v>
      </c>
      <c r="L246" s="3">
        <v>3</v>
      </c>
      <c r="M246" s="3">
        <v>25</v>
      </c>
      <c r="N246" s="3" t="s">
        <v>702</v>
      </c>
      <c r="O246" s="3" t="s">
        <v>705</v>
      </c>
      <c r="P246" s="3" t="s">
        <v>713</v>
      </c>
      <c r="Q246" s="3" t="s">
        <v>718</v>
      </c>
    </row>
    <row r="247" spans="1:17" x14ac:dyDescent="0.3">
      <c r="A247" s="3" t="s">
        <v>260</v>
      </c>
      <c r="B247" s="3" t="s">
        <v>595</v>
      </c>
      <c r="C247" s="3">
        <v>56</v>
      </c>
      <c r="D247" s="3" t="s">
        <v>690</v>
      </c>
      <c r="E247" s="3" t="s">
        <v>694</v>
      </c>
      <c r="F247" s="3" t="s">
        <v>696</v>
      </c>
      <c r="G247" s="4">
        <v>44430</v>
      </c>
      <c r="H247" s="4">
        <v>44888</v>
      </c>
      <c r="I247" s="3">
        <v>15</v>
      </c>
      <c r="J247" s="3">
        <v>63185</v>
      </c>
      <c r="K247" s="3">
        <v>96</v>
      </c>
      <c r="L247" s="3">
        <v>1</v>
      </c>
      <c r="M247" s="3">
        <v>26</v>
      </c>
      <c r="N247" s="3" t="s">
        <v>701</v>
      </c>
      <c r="O247" s="3" t="s">
        <v>704</v>
      </c>
      <c r="P247" s="3" t="s">
        <v>717</v>
      </c>
      <c r="Q247" s="3" t="s">
        <v>718</v>
      </c>
    </row>
    <row r="248" spans="1:17" x14ac:dyDescent="0.3">
      <c r="A248" s="3" t="s">
        <v>261</v>
      </c>
      <c r="B248" s="3" t="s">
        <v>596</v>
      </c>
      <c r="C248" s="3">
        <v>36</v>
      </c>
      <c r="D248" s="3" t="s">
        <v>686</v>
      </c>
      <c r="E248" s="3" t="s">
        <v>691</v>
      </c>
      <c r="F248" s="3" t="s">
        <v>698</v>
      </c>
      <c r="G248" s="4">
        <v>45219</v>
      </c>
      <c r="H248" s="4">
        <v>45929</v>
      </c>
      <c r="I248" s="3">
        <v>13</v>
      </c>
      <c r="J248" s="3">
        <v>34694</v>
      </c>
      <c r="K248" s="3">
        <v>84</v>
      </c>
      <c r="L248" s="3">
        <v>5</v>
      </c>
      <c r="M248" s="3">
        <v>30</v>
      </c>
      <c r="N248" s="3" t="s">
        <v>701</v>
      </c>
      <c r="O248" s="3" t="s">
        <v>704</v>
      </c>
      <c r="P248" s="3" t="s">
        <v>713</v>
      </c>
      <c r="Q248" s="3" t="s">
        <v>716</v>
      </c>
    </row>
    <row r="249" spans="1:17" x14ac:dyDescent="0.3">
      <c r="A249" s="3" t="s">
        <v>262</v>
      </c>
      <c r="B249" s="3" t="s">
        <v>597</v>
      </c>
      <c r="C249" s="3">
        <v>55</v>
      </c>
      <c r="D249" s="3" t="s">
        <v>690</v>
      </c>
      <c r="E249" s="3" t="s">
        <v>693</v>
      </c>
      <c r="F249" s="3" t="s">
        <v>697</v>
      </c>
      <c r="G249" s="4">
        <v>45017</v>
      </c>
      <c r="H249" s="4"/>
      <c r="I249" s="3">
        <v>20</v>
      </c>
      <c r="J249" s="3">
        <v>108647</v>
      </c>
      <c r="K249" s="3">
        <v>99</v>
      </c>
      <c r="L249" s="3">
        <v>1</v>
      </c>
      <c r="M249" s="3">
        <v>6</v>
      </c>
      <c r="N249" s="3" t="s">
        <v>703</v>
      </c>
      <c r="O249" s="3" t="s">
        <v>705</v>
      </c>
      <c r="P249" s="3" t="s">
        <v>717</v>
      </c>
      <c r="Q249" s="3" t="s">
        <v>714</v>
      </c>
    </row>
    <row r="250" spans="1:17" x14ac:dyDescent="0.3">
      <c r="A250" s="3" t="s">
        <v>263</v>
      </c>
      <c r="B250" s="3" t="s">
        <v>598</v>
      </c>
      <c r="C250" s="3">
        <v>31</v>
      </c>
      <c r="D250" s="3" t="s">
        <v>688</v>
      </c>
      <c r="E250" s="3" t="s">
        <v>695</v>
      </c>
      <c r="F250" s="3" t="s">
        <v>700</v>
      </c>
      <c r="G250" s="4">
        <v>45543</v>
      </c>
      <c r="H250" s="4"/>
      <c r="I250" s="3">
        <v>19</v>
      </c>
      <c r="J250" s="3">
        <v>109545</v>
      </c>
      <c r="K250" s="3">
        <v>91</v>
      </c>
      <c r="L250" s="3">
        <v>4</v>
      </c>
      <c r="M250" s="3">
        <v>21</v>
      </c>
      <c r="N250" s="3" t="s">
        <v>702</v>
      </c>
      <c r="O250" s="3" t="s">
        <v>705</v>
      </c>
      <c r="P250" s="3" t="s">
        <v>715</v>
      </c>
      <c r="Q250" s="3" t="s">
        <v>714</v>
      </c>
    </row>
    <row r="251" spans="1:17" x14ac:dyDescent="0.3">
      <c r="A251" s="3" t="s">
        <v>264</v>
      </c>
      <c r="B251" s="3" t="s">
        <v>599</v>
      </c>
      <c r="C251" s="3">
        <v>37</v>
      </c>
      <c r="D251" s="3" t="s">
        <v>685</v>
      </c>
      <c r="E251" s="3" t="s">
        <v>695</v>
      </c>
      <c r="F251" s="3" t="s">
        <v>697</v>
      </c>
      <c r="G251" s="4">
        <v>44413</v>
      </c>
      <c r="H251" s="4">
        <v>44704</v>
      </c>
      <c r="I251" s="3">
        <v>18</v>
      </c>
      <c r="J251" s="3">
        <v>101089</v>
      </c>
      <c r="K251" s="3">
        <v>92</v>
      </c>
      <c r="L251" s="3">
        <v>5</v>
      </c>
      <c r="M251" s="3">
        <v>14</v>
      </c>
      <c r="N251" s="3" t="s">
        <v>702</v>
      </c>
      <c r="O251" s="3" t="s">
        <v>704</v>
      </c>
      <c r="P251" s="3" t="s">
        <v>713</v>
      </c>
      <c r="Q251" s="3" t="s">
        <v>714</v>
      </c>
    </row>
    <row r="252" spans="1:17" x14ac:dyDescent="0.3">
      <c r="A252" s="3" t="s">
        <v>265</v>
      </c>
      <c r="B252" s="3" t="s">
        <v>600</v>
      </c>
      <c r="C252" s="3">
        <v>50</v>
      </c>
      <c r="D252" s="3" t="s">
        <v>688</v>
      </c>
      <c r="E252" s="3" t="s">
        <v>695</v>
      </c>
      <c r="F252" s="3" t="s">
        <v>697</v>
      </c>
      <c r="G252" s="4">
        <v>44963</v>
      </c>
      <c r="H252" s="4"/>
      <c r="I252" s="3">
        <v>5</v>
      </c>
      <c r="J252" s="3">
        <v>70215</v>
      </c>
      <c r="K252" s="3">
        <v>70</v>
      </c>
      <c r="L252" s="3">
        <v>4</v>
      </c>
      <c r="M252" s="3">
        <v>6</v>
      </c>
      <c r="N252" s="3" t="s">
        <v>702</v>
      </c>
      <c r="O252" s="3" t="s">
        <v>705</v>
      </c>
      <c r="P252" s="3" t="s">
        <v>717</v>
      </c>
      <c r="Q252" s="3" t="s">
        <v>718</v>
      </c>
    </row>
    <row r="253" spans="1:17" x14ac:dyDescent="0.3">
      <c r="A253" s="3" t="s">
        <v>266</v>
      </c>
      <c r="B253" s="3" t="s">
        <v>601</v>
      </c>
      <c r="C253" s="3">
        <v>30</v>
      </c>
      <c r="D253" s="3" t="s">
        <v>686</v>
      </c>
      <c r="E253" s="3" t="s">
        <v>693</v>
      </c>
      <c r="F253" s="3" t="s">
        <v>699</v>
      </c>
      <c r="G253" s="4">
        <v>45048</v>
      </c>
      <c r="H253" s="4">
        <v>45375</v>
      </c>
      <c r="I253" s="3">
        <v>15</v>
      </c>
      <c r="J253" s="3">
        <v>52114</v>
      </c>
      <c r="K253" s="3">
        <v>86</v>
      </c>
      <c r="L253" s="3">
        <v>4</v>
      </c>
      <c r="M253" s="3">
        <v>22</v>
      </c>
      <c r="N253" s="3" t="s">
        <v>702</v>
      </c>
      <c r="O253" s="3" t="s">
        <v>704</v>
      </c>
      <c r="P253" s="3" t="s">
        <v>715</v>
      </c>
      <c r="Q253" s="3" t="s">
        <v>718</v>
      </c>
    </row>
    <row r="254" spans="1:17" x14ac:dyDescent="0.3">
      <c r="A254" s="3" t="s">
        <v>267</v>
      </c>
      <c r="B254" s="3" t="s">
        <v>602</v>
      </c>
      <c r="C254" s="3">
        <v>49</v>
      </c>
      <c r="D254" s="3" t="s">
        <v>686</v>
      </c>
      <c r="E254" s="3" t="s">
        <v>692</v>
      </c>
      <c r="F254" s="3" t="s">
        <v>699</v>
      </c>
      <c r="G254" s="4">
        <v>44396</v>
      </c>
      <c r="H254" s="4"/>
      <c r="I254" s="3">
        <v>2</v>
      </c>
      <c r="J254" s="3">
        <v>118163</v>
      </c>
      <c r="K254" s="3">
        <v>73</v>
      </c>
      <c r="L254" s="3">
        <v>1</v>
      </c>
      <c r="M254" s="3">
        <v>21</v>
      </c>
      <c r="N254" s="3" t="s">
        <v>701</v>
      </c>
      <c r="O254" s="3" t="s">
        <v>705</v>
      </c>
      <c r="P254" s="3" t="s">
        <v>717</v>
      </c>
      <c r="Q254" s="3" t="s">
        <v>714</v>
      </c>
    </row>
    <row r="255" spans="1:17" x14ac:dyDescent="0.3">
      <c r="A255" s="3" t="s">
        <v>268</v>
      </c>
      <c r="B255" s="3" t="s">
        <v>603</v>
      </c>
      <c r="C255" s="3">
        <v>54</v>
      </c>
      <c r="D255" s="3" t="s">
        <v>685</v>
      </c>
      <c r="E255" s="3" t="s">
        <v>695</v>
      </c>
      <c r="F255" s="3" t="s">
        <v>696</v>
      </c>
      <c r="G255" s="4">
        <v>44420</v>
      </c>
      <c r="H255" s="4">
        <v>45009</v>
      </c>
      <c r="I255" s="3">
        <v>11</v>
      </c>
      <c r="J255" s="3">
        <v>98380</v>
      </c>
      <c r="K255" s="3">
        <v>83</v>
      </c>
      <c r="L255" s="3">
        <v>4</v>
      </c>
      <c r="M255" s="3">
        <v>14</v>
      </c>
      <c r="N255" s="3" t="s">
        <v>702</v>
      </c>
      <c r="O255" s="3" t="s">
        <v>704</v>
      </c>
      <c r="P255" s="3" t="s">
        <v>717</v>
      </c>
      <c r="Q255" s="3" t="s">
        <v>714</v>
      </c>
    </row>
    <row r="256" spans="1:17" x14ac:dyDescent="0.3">
      <c r="A256" s="3" t="s">
        <v>269</v>
      </c>
      <c r="B256" s="3" t="s">
        <v>604</v>
      </c>
      <c r="C256" s="3">
        <v>48</v>
      </c>
      <c r="D256" s="3" t="s">
        <v>689</v>
      </c>
      <c r="E256" s="3" t="s">
        <v>692</v>
      </c>
      <c r="F256" s="3" t="s">
        <v>697</v>
      </c>
      <c r="G256" s="4">
        <v>45486</v>
      </c>
      <c r="H256" s="4">
        <v>45957</v>
      </c>
      <c r="I256" s="3">
        <v>7</v>
      </c>
      <c r="J256" s="3">
        <v>83926</v>
      </c>
      <c r="K256" s="3">
        <v>88</v>
      </c>
      <c r="L256" s="3">
        <v>4</v>
      </c>
      <c r="M256" s="3">
        <v>24</v>
      </c>
      <c r="N256" s="3" t="s">
        <v>703</v>
      </c>
      <c r="O256" s="3" t="s">
        <v>704</v>
      </c>
      <c r="P256" s="3" t="s">
        <v>717</v>
      </c>
      <c r="Q256" s="3" t="s">
        <v>714</v>
      </c>
    </row>
    <row r="257" spans="1:17" x14ac:dyDescent="0.3">
      <c r="A257" s="3" t="s">
        <v>270</v>
      </c>
      <c r="B257" s="3" t="s">
        <v>605</v>
      </c>
      <c r="C257" s="3">
        <v>38</v>
      </c>
      <c r="D257" s="3" t="s">
        <v>688</v>
      </c>
      <c r="E257" s="3" t="s">
        <v>692</v>
      </c>
      <c r="F257" s="3" t="s">
        <v>697</v>
      </c>
      <c r="G257" s="4">
        <v>45640</v>
      </c>
      <c r="H257" s="4">
        <v>46142</v>
      </c>
      <c r="I257" s="3">
        <v>4</v>
      </c>
      <c r="J257" s="3">
        <v>95371</v>
      </c>
      <c r="K257" s="3">
        <v>75</v>
      </c>
      <c r="L257" s="3">
        <v>3</v>
      </c>
      <c r="M257" s="3">
        <v>20</v>
      </c>
      <c r="N257" s="3" t="s">
        <v>703</v>
      </c>
      <c r="O257" s="3" t="s">
        <v>704</v>
      </c>
      <c r="P257" s="3" t="s">
        <v>713</v>
      </c>
      <c r="Q257" s="3" t="s">
        <v>714</v>
      </c>
    </row>
    <row r="258" spans="1:17" x14ac:dyDescent="0.3">
      <c r="A258" s="3" t="s">
        <v>271</v>
      </c>
      <c r="B258" s="3" t="s">
        <v>606</v>
      </c>
      <c r="C258" s="3">
        <v>52</v>
      </c>
      <c r="D258" s="3" t="s">
        <v>687</v>
      </c>
      <c r="E258" s="3" t="s">
        <v>693</v>
      </c>
      <c r="F258" s="3" t="s">
        <v>697</v>
      </c>
      <c r="G258" s="4">
        <v>45134</v>
      </c>
      <c r="H258" s="4">
        <v>45761</v>
      </c>
      <c r="I258" s="3">
        <v>13</v>
      </c>
      <c r="J258" s="3">
        <v>105125</v>
      </c>
      <c r="K258" s="3">
        <v>82</v>
      </c>
      <c r="L258" s="3">
        <v>5</v>
      </c>
      <c r="M258" s="3">
        <v>7</v>
      </c>
      <c r="N258" s="3" t="s">
        <v>702</v>
      </c>
      <c r="O258" s="3" t="s">
        <v>704</v>
      </c>
      <c r="P258" s="3" t="s">
        <v>717</v>
      </c>
      <c r="Q258" s="3" t="s">
        <v>714</v>
      </c>
    </row>
    <row r="259" spans="1:17" x14ac:dyDescent="0.3">
      <c r="A259" s="3" t="s">
        <v>272</v>
      </c>
      <c r="B259" s="3" t="s">
        <v>607</v>
      </c>
      <c r="C259" s="3">
        <v>32</v>
      </c>
      <c r="D259" s="3" t="s">
        <v>688</v>
      </c>
      <c r="E259" s="3" t="s">
        <v>693</v>
      </c>
      <c r="F259" s="3" t="s">
        <v>697</v>
      </c>
      <c r="G259" s="4">
        <v>44917</v>
      </c>
      <c r="H259" s="4"/>
      <c r="I259" s="3">
        <v>19</v>
      </c>
      <c r="J259" s="3">
        <v>36108</v>
      </c>
      <c r="K259" s="3">
        <v>91</v>
      </c>
      <c r="L259" s="3">
        <v>2</v>
      </c>
      <c r="M259" s="3">
        <v>20</v>
      </c>
      <c r="N259" s="3" t="s">
        <v>703</v>
      </c>
      <c r="O259" s="3" t="s">
        <v>705</v>
      </c>
      <c r="P259" s="3" t="s">
        <v>715</v>
      </c>
      <c r="Q259" s="3" t="s">
        <v>716</v>
      </c>
    </row>
    <row r="260" spans="1:17" x14ac:dyDescent="0.3">
      <c r="A260" s="3" t="s">
        <v>273</v>
      </c>
      <c r="B260" s="3" t="s">
        <v>608</v>
      </c>
      <c r="C260" s="3">
        <v>28</v>
      </c>
      <c r="D260" s="3" t="s">
        <v>685</v>
      </c>
      <c r="E260" s="3" t="s">
        <v>693</v>
      </c>
      <c r="F260" s="3" t="s">
        <v>696</v>
      </c>
      <c r="G260" s="4">
        <v>44685</v>
      </c>
      <c r="H260" s="4"/>
      <c r="I260" s="3">
        <v>17</v>
      </c>
      <c r="J260" s="3">
        <v>75916</v>
      </c>
      <c r="K260" s="3">
        <v>83</v>
      </c>
      <c r="L260" s="3">
        <v>5</v>
      </c>
      <c r="M260" s="3">
        <v>8</v>
      </c>
      <c r="N260" s="3" t="s">
        <v>701</v>
      </c>
      <c r="O260" s="3" t="s">
        <v>705</v>
      </c>
      <c r="P260" s="3" t="s">
        <v>715</v>
      </c>
      <c r="Q260" s="3" t="s">
        <v>718</v>
      </c>
    </row>
    <row r="261" spans="1:17" x14ac:dyDescent="0.3">
      <c r="A261" s="3" t="s">
        <v>274</v>
      </c>
      <c r="B261" s="3" t="s">
        <v>609</v>
      </c>
      <c r="C261" s="3">
        <v>32</v>
      </c>
      <c r="D261" s="3" t="s">
        <v>689</v>
      </c>
      <c r="E261" s="3" t="s">
        <v>695</v>
      </c>
      <c r="F261" s="3" t="s">
        <v>696</v>
      </c>
      <c r="G261" s="4">
        <v>44982</v>
      </c>
      <c r="H261" s="4"/>
      <c r="I261" s="3">
        <v>18</v>
      </c>
      <c r="J261" s="3">
        <v>46871</v>
      </c>
      <c r="K261" s="3">
        <v>85</v>
      </c>
      <c r="L261" s="3">
        <v>3</v>
      </c>
      <c r="M261" s="3">
        <v>8</v>
      </c>
      <c r="N261" s="3" t="s">
        <v>703</v>
      </c>
      <c r="O261" s="3" t="s">
        <v>705</v>
      </c>
      <c r="P261" s="3" t="s">
        <v>715</v>
      </c>
      <c r="Q261" s="3" t="s">
        <v>718</v>
      </c>
    </row>
    <row r="262" spans="1:17" x14ac:dyDescent="0.3">
      <c r="A262" s="3" t="s">
        <v>275</v>
      </c>
      <c r="B262" s="3" t="s">
        <v>610</v>
      </c>
      <c r="C262" s="3">
        <v>24</v>
      </c>
      <c r="D262" s="3" t="s">
        <v>686</v>
      </c>
      <c r="E262" s="3" t="s">
        <v>692</v>
      </c>
      <c r="F262" s="3" t="s">
        <v>698</v>
      </c>
      <c r="G262" s="4">
        <v>44841</v>
      </c>
      <c r="H262" s="4"/>
      <c r="I262" s="3">
        <v>5</v>
      </c>
      <c r="J262" s="3">
        <v>50575</v>
      </c>
      <c r="K262" s="3">
        <v>96</v>
      </c>
      <c r="L262" s="3">
        <v>4</v>
      </c>
      <c r="M262" s="3">
        <v>35</v>
      </c>
      <c r="N262" s="3" t="s">
        <v>701</v>
      </c>
      <c r="O262" s="3" t="s">
        <v>705</v>
      </c>
      <c r="P262" s="3" t="s">
        <v>719</v>
      </c>
      <c r="Q262" s="3" t="s">
        <v>718</v>
      </c>
    </row>
    <row r="263" spans="1:17" x14ac:dyDescent="0.3">
      <c r="A263" s="3" t="s">
        <v>276</v>
      </c>
      <c r="B263" s="3" t="s">
        <v>611</v>
      </c>
      <c r="C263" s="3">
        <v>47</v>
      </c>
      <c r="D263" s="3" t="s">
        <v>688</v>
      </c>
      <c r="E263" s="3" t="s">
        <v>694</v>
      </c>
      <c r="F263" s="3" t="s">
        <v>698</v>
      </c>
      <c r="G263" s="4">
        <v>45534</v>
      </c>
      <c r="H263" s="4"/>
      <c r="I263" s="3">
        <v>15</v>
      </c>
      <c r="J263" s="3">
        <v>89054</v>
      </c>
      <c r="K263" s="3">
        <v>75</v>
      </c>
      <c r="L263" s="3">
        <v>1</v>
      </c>
      <c r="M263" s="3">
        <v>36</v>
      </c>
      <c r="N263" s="3" t="s">
        <v>703</v>
      </c>
      <c r="O263" s="3" t="s">
        <v>705</v>
      </c>
      <c r="P263" s="3" t="s">
        <v>717</v>
      </c>
      <c r="Q263" s="3" t="s">
        <v>714</v>
      </c>
    </row>
    <row r="264" spans="1:17" x14ac:dyDescent="0.3">
      <c r="A264" s="3" t="s">
        <v>277</v>
      </c>
      <c r="B264" s="3" t="s">
        <v>612</v>
      </c>
      <c r="C264" s="3">
        <v>23</v>
      </c>
      <c r="D264" s="3" t="s">
        <v>686</v>
      </c>
      <c r="E264" s="3" t="s">
        <v>691</v>
      </c>
      <c r="F264" s="3" t="s">
        <v>697</v>
      </c>
      <c r="G264" s="4">
        <v>45826</v>
      </c>
      <c r="H264" s="4">
        <v>46142</v>
      </c>
      <c r="I264" s="3">
        <v>10</v>
      </c>
      <c r="J264" s="3">
        <v>47047</v>
      </c>
      <c r="K264" s="3">
        <v>94</v>
      </c>
      <c r="L264" s="3">
        <v>4</v>
      </c>
      <c r="M264" s="3">
        <v>36</v>
      </c>
      <c r="N264" s="3" t="s">
        <v>701</v>
      </c>
      <c r="O264" s="3" t="s">
        <v>704</v>
      </c>
      <c r="P264" s="3" t="s">
        <v>719</v>
      </c>
      <c r="Q264" s="3" t="s">
        <v>718</v>
      </c>
    </row>
    <row r="265" spans="1:17" x14ac:dyDescent="0.3">
      <c r="A265" s="3" t="s">
        <v>278</v>
      </c>
      <c r="B265" s="3" t="s">
        <v>613</v>
      </c>
      <c r="C265" s="3">
        <v>56</v>
      </c>
      <c r="D265" s="3" t="s">
        <v>687</v>
      </c>
      <c r="E265" s="3" t="s">
        <v>692</v>
      </c>
      <c r="F265" s="3" t="s">
        <v>697</v>
      </c>
      <c r="G265" s="4">
        <v>45779</v>
      </c>
      <c r="H265" s="4"/>
      <c r="I265" s="3">
        <v>4</v>
      </c>
      <c r="J265" s="3">
        <v>60112</v>
      </c>
      <c r="K265" s="3">
        <v>94</v>
      </c>
      <c r="L265" s="3">
        <v>5</v>
      </c>
      <c r="M265" s="3">
        <v>23</v>
      </c>
      <c r="N265" s="3" t="s">
        <v>701</v>
      </c>
      <c r="O265" s="3" t="s">
        <v>705</v>
      </c>
      <c r="P265" s="3" t="s">
        <v>717</v>
      </c>
      <c r="Q265" s="3" t="s">
        <v>718</v>
      </c>
    </row>
    <row r="266" spans="1:17" x14ac:dyDescent="0.3">
      <c r="A266" s="3" t="s">
        <v>279</v>
      </c>
      <c r="B266" s="3" t="s">
        <v>614</v>
      </c>
      <c r="C266" s="3">
        <v>55</v>
      </c>
      <c r="D266" s="3" t="s">
        <v>685</v>
      </c>
      <c r="E266" s="3" t="s">
        <v>694</v>
      </c>
      <c r="F266" s="3" t="s">
        <v>700</v>
      </c>
      <c r="G266" s="4">
        <v>45881</v>
      </c>
      <c r="H266" s="4">
        <v>46142</v>
      </c>
      <c r="I266" s="3">
        <v>8</v>
      </c>
      <c r="J266" s="3">
        <v>64021</v>
      </c>
      <c r="K266" s="3">
        <v>97</v>
      </c>
      <c r="L266" s="3">
        <v>1</v>
      </c>
      <c r="M266" s="3">
        <v>28</v>
      </c>
      <c r="N266" s="3" t="s">
        <v>702</v>
      </c>
      <c r="O266" s="3" t="s">
        <v>704</v>
      </c>
      <c r="P266" s="3" t="s">
        <v>717</v>
      </c>
      <c r="Q266" s="3" t="s">
        <v>718</v>
      </c>
    </row>
    <row r="267" spans="1:17" x14ac:dyDescent="0.3">
      <c r="A267" s="3" t="s">
        <v>280</v>
      </c>
      <c r="B267" s="3" t="s">
        <v>615</v>
      </c>
      <c r="C267" s="3">
        <v>28</v>
      </c>
      <c r="D267" s="3" t="s">
        <v>685</v>
      </c>
      <c r="E267" s="3" t="s">
        <v>691</v>
      </c>
      <c r="F267" s="3" t="s">
        <v>697</v>
      </c>
      <c r="G267" s="4">
        <v>44910</v>
      </c>
      <c r="H267" s="4">
        <v>45899</v>
      </c>
      <c r="I267" s="3">
        <v>12</v>
      </c>
      <c r="J267" s="3">
        <v>118159</v>
      </c>
      <c r="K267" s="3">
        <v>89</v>
      </c>
      <c r="L267" s="3">
        <v>4</v>
      </c>
      <c r="M267" s="3">
        <v>10</v>
      </c>
      <c r="N267" s="3" t="s">
        <v>701</v>
      </c>
      <c r="O267" s="3" t="s">
        <v>704</v>
      </c>
      <c r="P267" s="3" t="s">
        <v>715</v>
      </c>
      <c r="Q267" s="3" t="s">
        <v>714</v>
      </c>
    </row>
    <row r="268" spans="1:17" x14ac:dyDescent="0.3">
      <c r="A268" s="3" t="s">
        <v>281</v>
      </c>
      <c r="B268" s="3" t="s">
        <v>616</v>
      </c>
      <c r="C268" s="3">
        <v>24</v>
      </c>
      <c r="D268" s="3" t="s">
        <v>687</v>
      </c>
      <c r="E268" s="3" t="s">
        <v>693</v>
      </c>
      <c r="F268" s="3" t="s">
        <v>697</v>
      </c>
      <c r="G268" s="4">
        <v>44482</v>
      </c>
      <c r="H268" s="4">
        <v>44995</v>
      </c>
      <c r="I268" s="3">
        <v>9</v>
      </c>
      <c r="J268" s="3">
        <v>103231</v>
      </c>
      <c r="K268" s="3">
        <v>87</v>
      </c>
      <c r="L268" s="3">
        <v>2</v>
      </c>
      <c r="M268" s="3">
        <v>20</v>
      </c>
      <c r="N268" s="3" t="s">
        <v>701</v>
      </c>
      <c r="O268" s="3" t="s">
        <v>704</v>
      </c>
      <c r="P268" s="3" t="s">
        <v>719</v>
      </c>
      <c r="Q268" s="3" t="s">
        <v>714</v>
      </c>
    </row>
    <row r="269" spans="1:17" x14ac:dyDescent="0.3">
      <c r="A269" s="3" t="s">
        <v>282</v>
      </c>
      <c r="B269" s="3" t="s">
        <v>617</v>
      </c>
      <c r="C269" s="3">
        <v>57</v>
      </c>
      <c r="D269" s="3" t="s">
        <v>686</v>
      </c>
      <c r="E269" s="3" t="s">
        <v>695</v>
      </c>
      <c r="F269" s="3" t="s">
        <v>700</v>
      </c>
      <c r="G269" s="4">
        <v>44796</v>
      </c>
      <c r="H269" s="4"/>
      <c r="I269" s="3">
        <v>5</v>
      </c>
      <c r="J269" s="3">
        <v>78948</v>
      </c>
      <c r="K269" s="3">
        <v>99</v>
      </c>
      <c r="L269" s="3">
        <v>1</v>
      </c>
      <c r="M269" s="3">
        <v>17</v>
      </c>
      <c r="N269" s="3" t="s">
        <v>701</v>
      </c>
      <c r="O269" s="3" t="s">
        <v>705</v>
      </c>
      <c r="P269" s="3" t="s">
        <v>717</v>
      </c>
      <c r="Q269" s="3" t="s">
        <v>718</v>
      </c>
    </row>
    <row r="270" spans="1:17" x14ac:dyDescent="0.3">
      <c r="A270" s="3" t="s">
        <v>283</v>
      </c>
      <c r="B270" s="3" t="s">
        <v>618</v>
      </c>
      <c r="C270" s="3">
        <v>30</v>
      </c>
      <c r="D270" s="3" t="s">
        <v>688</v>
      </c>
      <c r="E270" s="3" t="s">
        <v>693</v>
      </c>
      <c r="F270" s="3" t="s">
        <v>696</v>
      </c>
      <c r="G270" s="4">
        <v>44456</v>
      </c>
      <c r="H270" s="4">
        <v>45057</v>
      </c>
      <c r="I270" s="3">
        <v>13</v>
      </c>
      <c r="J270" s="3">
        <v>89154</v>
      </c>
      <c r="K270" s="3">
        <v>74</v>
      </c>
      <c r="L270" s="3">
        <v>5</v>
      </c>
      <c r="M270" s="3">
        <v>40</v>
      </c>
      <c r="N270" s="3" t="s">
        <v>702</v>
      </c>
      <c r="O270" s="3" t="s">
        <v>704</v>
      </c>
      <c r="P270" s="3" t="s">
        <v>715</v>
      </c>
      <c r="Q270" s="3" t="s">
        <v>714</v>
      </c>
    </row>
    <row r="271" spans="1:17" x14ac:dyDescent="0.3">
      <c r="A271" s="3" t="s">
        <v>284</v>
      </c>
      <c r="B271" s="3" t="s">
        <v>619</v>
      </c>
      <c r="C271" s="3">
        <v>45</v>
      </c>
      <c r="D271" s="3" t="s">
        <v>689</v>
      </c>
      <c r="E271" s="3" t="s">
        <v>692</v>
      </c>
      <c r="F271" s="3" t="s">
        <v>700</v>
      </c>
      <c r="G271" s="4">
        <v>45482</v>
      </c>
      <c r="H271" s="4"/>
      <c r="I271" s="3">
        <v>13</v>
      </c>
      <c r="J271" s="3">
        <v>92582</v>
      </c>
      <c r="K271" s="3">
        <v>93</v>
      </c>
      <c r="L271" s="3">
        <v>3</v>
      </c>
      <c r="M271" s="3">
        <v>23</v>
      </c>
      <c r="N271" s="3" t="s">
        <v>702</v>
      </c>
      <c r="O271" s="3" t="s">
        <v>705</v>
      </c>
      <c r="P271" s="3" t="s">
        <v>713</v>
      </c>
      <c r="Q271" s="3" t="s">
        <v>714</v>
      </c>
    </row>
    <row r="272" spans="1:17" x14ac:dyDescent="0.3">
      <c r="A272" s="3" t="s">
        <v>285</v>
      </c>
      <c r="B272" s="3" t="s">
        <v>620</v>
      </c>
      <c r="C272" s="3">
        <v>58</v>
      </c>
      <c r="D272" s="3" t="s">
        <v>690</v>
      </c>
      <c r="E272" s="3" t="s">
        <v>692</v>
      </c>
      <c r="F272" s="3" t="s">
        <v>698</v>
      </c>
      <c r="G272" s="4">
        <v>45196</v>
      </c>
      <c r="H272" s="4"/>
      <c r="I272" s="3">
        <v>12</v>
      </c>
      <c r="J272" s="3">
        <v>33300</v>
      </c>
      <c r="K272" s="3">
        <v>95</v>
      </c>
      <c r="L272" s="3">
        <v>5</v>
      </c>
      <c r="M272" s="3">
        <v>25</v>
      </c>
      <c r="N272" s="3" t="s">
        <v>703</v>
      </c>
      <c r="O272" s="3" t="s">
        <v>705</v>
      </c>
      <c r="P272" s="3" t="s">
        <v>717</v>
      </c>
      <c r="Q272" s="3" t="s">
        <v>716</v>
      </c>
    </row>
    <row r="273" spans="1:17" x14ac:dyDescent="0.3">
      <c r="A273" s="3" t="s">
        <v>286</v>
      </c>
      <c r="B273" s="3" t="s">
        <v>621</v>
      </c>
      <c r="C273" s="3">
        <v>38</v>
      </c>
      <c r="D273" s="3" t="s">
        <v>686</v>
      </c>
      <c r="E273" s="3" t="s">
        <v>693</v>
      </c>
      <c r="F273" s="3" t="s">
        <v>699</v>
      </c>
      <c r="G273" s="4">
        <v>45076</v>
      </c>
      <c r="H273" s="4">
        <v>46142</v>
      </c>
      <c r="I273" s="3">
        <v>18</v>
      </c>
      <c r="J273" s="3">
        <v>100750</v>
      </c>
      <c r="K273" s="3">
        <v>74</v>
      </c>
      <c r="L273" s="3">
        <v>5</v>
      </c>
      <c r="M273" s="3">
        <v>31</v>
      </c>
      <c r="N273" s="3" t="s">
        <v>702</v>
      </c>
      <c r="O273" s="3" t="s">
        <v>704</v>
      </c>
      <c r="P273" s="3" t="s">
        <v>713</v>
      </c>
      <c r="Q273" s="3" t="s">
        <v>714</v>
      </c>
    </row>
    <row r="274" spans="1:17" x14ac:dyDescent="0.3">
      <c r="A274" s="3" t="s">
        <v>287</v>
      </c>
      <c r="B274" s="3" t="s">
        <v>622</v>
      </c>
      <c r="C274" s="3">
        <v>27</v>
      </c>
      <c r="D274" s="3" t="s">
        <v>688</v>
      </c>
      <c r="E274" s="3" t="s">
        <v>694</v>
      </c>
      <c r="F274" s="3" t="s">
        <v>700</v>
      </c>
      <c r="G274" s="4">
        <v>46028</v>
      </c>
      <c r="H274" s="4">
        <v>46142</v>
      </c>
      <c r="I274" s="3">
        <v>4</v>
      </c>
      <c r="J274" s="3">
        <v>45707</v>
      </c>
      <c r="K274" s="3">
        <v>84</v>
      </c>
      <c r="L274" s="3">
        <v>4</v>
      </c>
      <c r="M274" s="3">
        <v>0</v>
      </c>
      <c r="N274" s="3" t="s">
        <v>702</v>
      </c>
      <c r="O274" s="3" t="s">
        <v>704</v>
      </c>
      <c r="P274" s="3" t="s">
        <v>715</v>
      </c>
      <c r="Q274" s="3" t="s">
        <v>718</v>
      </c>
    </row>
    <row r="275" spans="1:17" x14ac:dyDescent="0.3">
      <c r="A275" s="3" t="s">
        <v>288</v>
      </c>
      <c r="B275" s="3" t="s">
        <v>623</v>
      </c>
      <c r="C275" s="3">
        <v>31</v>
      </c>
      <c r="D275" s="3" t="s">
        <v>686</v>
      </c>
      <c r="E275" s="3" t="s">
        <v>692</v>
      </c>
      <c r="F275" s="3" t="s">
        <v>699</v>
      </c>
      <c r="G275" s="4">
        <v>44611</v>
      </c>
      <c r="H275" s="4">
        <v>45319</v>
      </c>
      <c r="I275" s="3">
        <v>9</v>
      </c>
      <c r="J275" s="3">
        <v>35803</v>
      </c>
      <c r="K275" s="3">
        <v>81</v>
      </c>
      <c r="L275" s="3">
        <v>2</v>
      </c>
      <c r="M275" s="3">
        <v>3</v>
      </c>
      <c r="N275" s="3" t="s">
        <v>702</v>
      </c>
      <c r="O275" s="3" t="s">
        <v>704</v>
      </c>
      <c r="P275" s="3" t="s">
        <v>715</v>
      </c>
      <c r="Q275" s="3" t="s">
        <v>716</v>
      </c>
    </row>
    <row r="276" spans="1:17" x14ac:dyDescent="0.3">
      <c r="A276" s="3" t="s">
        <v>289</v>
      </c>
      <c r="B276" s="3" t="s">
        <v>624</v>
      </c>
      <c r="C276" s="3">
        <v>35</v>
      </c>
      <c r="D276" s="3" t="s">
        <v>689</v>
      </c>
      <c r="E276" s="3" t="s">
        <v>692</v>
      </c>
      <c r="F276" s="3" t="s">
        <v>700</v>
      </c>
      <c r="G276" s="4">
        <v>45478</v>
      </c>
      <c r="H276" s="4"/>
      <c r="I276" s="3">
        <v>1</v>
      </c>
      <c r="J276" s="3">
        <v>52973</v>
      </c>
      <c r="K276" s="3">
        <v>85</v>
      </c>
      <c r="L276" s="3">
        <v>1</v>
      </c>
      <c r="M276" s="3">
        <v>8</v>
      </c>
      <c r="N276" s="3" t="s">
        <v>701</v>
      </c>
      <c r="O276" s="3" t="s">
        <v>705</v>
      </c>
      <c r="P276" s="3" t="s">
        <v>715</v>
      </c>
      <c r="Q276" s="3" t="s">
        <v>718</v>
      </c>
    </row>
    <row r="277" spans="1:17" x14ac:dyDescent="0.3">
      <c r="A277" s="3" t="s">
        <v>290</v>
      </c>
      <c r="B277" s="3" t="s">
        <v>625</v>
      </c>
      <c r="C277" s="3">
        <v>21</v>
      </c>
      <c r="D277" s="3" t="s">
        <v>690</v>
      </c>
      <c r="E277" s="3" t="s">
        <v>693</v>
      </c>
      <c r="F277" s="3" t="s">
        <v>700</v>
      </c>
      <c r="G277" s="4">
        <v>44660</v>
      </c>
      <c r="H277" s="4"/>
      <c r="I277" s="3">
        <v>14</v>
      </c>
      <c r="J277" s="3">
        <v>115968</v>
      </c>
      <c r="K277" s="3">
        <v>74</v>
      </c>
      <c r="L277" s="3">
        <v>4</v>
      </c>
      <c r="M277" s="3">
        <v>4</v>
      </c>
      <c r="N277" s="3" t="s">
        <v>703</v>
      </c>
      <c r="O277" s="3" t="s">
        <v>705</v>
      </c>
      <c r="P277" s="3" t="s">
        <v>719</v>
      </c>
      <c r="Q277" s="3" t="s">
        <v>714</v>
      </c>
    </row>
    <row r="278" spans="1:17" x14ac:dyDescent="0.3">
      <c r="A278" s="3" t="s">
        <v>291</v>
      </c>
      <c r="B278" s="3" t="s">
        <v>626</v>
      </c>
      <c r="C278" s="3">
        <v>27</v>
      </c>
      <c r="D278" s="3" t="s">
        <v>686</v>
      </c>
      <c r="E278" s="3" t="s">
        <v>693</v>
      </c>
      <c r="F278" s="3" t="s">
        <v>699</v>
      </c>
      <c r="G278" s="4">
        <v>44981</v>
      </c>
      <c r="H278" s="4">
        <v>45280</v>
      </c>
      <c r="I278" s="3">
        <v>5</v>
      </c>
      <c r="J278" s="3">
        <v>75164</v>
      </c>
      <c r="K278" s="3">
        <v>94</v>
      </c>
      <c r="L278" s="3">
        <v>2</v>
      </c>
      <c r="M278" s="3">
        <v>9</v>
      </c>
      <c r="N278" s="3" t="s">
        <v>703</v>
      </c>
      <c r="O278" s="3" t="s">
        <v>704</v>
      </c>
      <c r="P278" s="3" t="s">
        <v>715</v>
      </c>
      <c r="Q278" s="3" t="s">
        <v>718</v>
      </c>
    </row>
    <row r="279" spans="1:17" x14ac:dyDescent="0.3">
      <c r="A279" s="3" t="s">
        <v>292</v>
      </c>
      <c r="B279" s="3" t="s">
        <v>627</v>
      </c>
      <c r="C279" s="3">
        <v>49</v>
      </c>
      <c r="D279" s="3" t="s">
        <v>686</v>
      </c>
      <c r="E279" s="3" t="s">
        <v>691</v>
      </c>
      <c r="F279" s="3" t="s">
        <v>696</v>
      </c>
      <c r="G279" s="4">
        <v>45283</v>
      </c>
      <c r="H279" s="4">
        <v>45709</v>
      </c>
      <c r="I279" s="3">
        <v>14</v>
      </c>
      <c r="J279" s="3">
        <v>105750</v>
      </c>
      <c r="K279" s="3">
        <v>91</v>
      </c>
      <c r="L279" s="3">
        <v>4</v>
      </c>
      <c r="M279" s="3">
        <v>13</v>
      </c>
      <c r="N279" s="3" t="s">
        <v>703</v>
      </c>
      <c r="O279" s="3" t="s">
        <v>704</v>
      </c>
      <c r="P279" s="3" t="s">
        <v>717</v>
      </c>
      <c r="Q279" s="3" t="s">
        <v>714</v>
      </c>
    </row>
    <row r="280" spans="1:17" x14ac:dyDescent="0.3">
      <c r="A280" s="3" t="s">
        <v>293</v>
      </c>
      <c r="B280" s="3" t="s">
        <v>628</v>
      </c>
      <c r="C280" s="3">
        <v>28</v>
      </c>
      <c r="D280" s="3" t="s">
        <v>687</v>
      </c>
      <c r="E280" s="3" t="s">
        <v>694</v>
      </c>
      <c r="F280" s="3" t="s">
        <v>699</v>
      </c>
      <c r="G280" s="4">
        <v>46033</v>
      </c>
      <c r="H280" s="4">
        <v>46142</v>
      </c>
      <c r="I280" s="3">
        <v>14</v>
      </c>
      <c r="J280" s="3">
        <v>66222</v>
      </c>
      <c r="K280" s="3">
        <v>95</v>
      </c>
      <c r="L280" s="3">
        <v>2</v>
      </c>
      <c r="M280" s="3">
        <v>15</v>
      </c>
      <c r="N280" s="3" t="s">
        <v>702</v>
      </c>
      <c r="O280" s="3" t="s">
        <v>704</v>
      </c>
      <c r="P280" s="3" t="s">
        <v>715</v>
      </c>
      <c r="Q280" s="3" t="s">
        <v>718</v>
      </c>
    </row>
    <row r="281" spans="1:17" x14ac:dyDescent="0.3">
      <c r="A281" s="3" t="s">
        <v>294</v>
      </c>
      <c r="B281" s="3" t="s">
        <v>629</v>
      </c>
      <c r="C281" s="3">
        <v>56</v>
      </c>
      <c r="D281" s="3" t="s">
        <v>687</v>
      </c>
      <c r="E281" s="3" t="s">
        <v>695</v>
      </c>
      <c r="F281" s="3" t="s">
        <v>697</v>
      </c>
      <c r="G281" s="4">
        <v>45517</v>
      </c>
      <c r="H281" s="4">
        <v>46115</v>
      </c>
      <c r="I281" s="3">
        <v>10</v>
      </c>
      <c r="J281" s="3">
        <v>115502</v>
      </c>
      <c r="K281" s="3">
        <v>70</v>
      </c>
      <c r="L281" s="3">
        <v>3</v>
      </c>
      <c r="M281" s="3">
        <v>13</v>
      </c>
      <c r="N281" s="3" t="s">
        <v>701</v>
      </c>
      <c r="O281" s="3" t="s">
        <v>704</v>
      </c>
      <c r="P281" s="3" t="s">
        <v>717</v>
      </c>
      <c r="Q281" s="3" t="s">
        <v>714</v>
      </c>
    </row>
    <row r="282" spans="1:17" x14ac:dyDescent="0.3">
      <c r="A282" s="3" t="s">
        <v>295</v>
      </c>
      <c r="B282" s="3" t="s">
        <v>630</v>
      </c>
      <c r="C282" s="3">
        <v>39</v>
      </c>
      <c r="D282" s="3" t="s">
        <v>688</v>
      </c>
      <c r="E282" s="3" t="s">
        <v>692</v>
      </c>
      <c r="F282" s="3" t="s">
        <v>696</v>
      </c>
      <c r="G282" s="4">
        <v>45439</v>
      </c>
      <c r="H282" s="4">
        <v>46142</v>
      </c>
      <c r="I282" s="3">
        <v>16</v>
      </c>
      <c r="J282" s="3">
        <v>75578</v>
      </c>
      <c r="K282" s="3">
        <v>73</v>
      </c>
      <c r="L282" s="3">
        <v>2</v>
      </c>
      <c r="M282" s="3">
        <v>31</v>
      </c>
      <c r="N282" s="3" t="s">
        <v>701</v>
      </c>
      <c r="O282" s="3" t="s">
        <v>704</v>
      </c>
      <c r="P282" s="3" t="s">
        <v>713</v>
      </c>
      <c r="Q282" s="3" t="s">
        <v>718</v>
      </c>
    </row>
    <row r="283" spans="1:17" x14ac:dyDescent="0.3">
      <c r="A283" s="3" t="s">
        <v>296</v>
      </c>
      <c r="B283" s="3" t="s">
        <v>631</v>
      </c>
      <c r="C283" s="3">
        <v>21</v>
      </c>
      <c r="D283" s="3" t="s">
        <v>686</v>
      </c>
      <c r="E283" s="3" t="s">
        <v>693</v>
      </c>
      <c r="F283" s="3" t="s">
        <v>696</v>
      </c>
      <c r="G283" s="4">
        <v>45413</v>
      </c>
      <c r="H283" s="4">
        <v>46142</v>
      </c>
      <c r="I283" s="3">
        <v>13</v>
      </c>
      <c r="J283" s="3">
        <v>99498</v>
      </c>
      <c r="K283" s="3">
        <v>83</v>
      </c>
      <c r="L283" s="3">
        <v>3</v>
      </c>
      <c r="M283" s="3">
        <v>34</v>
      </c>
      <c r="N283" s="3" t="s">
        <v>701</v>
      </c>
      <c r="O283" s="3" t="s">
        <v>704</v>
      </c>
      <c r="P283" s="3" t="s">
        <v>719</v>
      </c>
      <c r="Q283" s="3" t="s">
        <v>714</v>
      </c>
    </row>
    <row r="284" spans="1:17" x14ac:dyDescent="0.3">
      <c r="A284" s="3" t="s">
        <v>297</v>
      </c>
      <c r="B284" s="3" t="s">
        <v>632</v>
      </c>
      <c r="C284" s="3">
        <v>25</v>
      </c>
      <c r="D284" s="3" t="s">
        <v>690</v>
      </c>
      <c r="E284" s="3" t="s">
        <v>695</v>
      </c>
      <c r="F284" s="3" t="s">
        <v>700</v>
      </c>
      <c r="G284" s="4">
        <v>44550</v>
      </c>
      <c r="H284" s="4"/>
      <c r="I284" s="3">
        <v>1</v>
      </c>
      <c r="J284" s="3">
        <v>59365</v>
      </c>
      <c r="K284" s="3">
        <v>76</v>
      </c>
      <c r="L284" s="3">
        <v>1</v>
      </c>
      <c r="M284" s="3">
        <v>3</v>
      </c>
      <c r="N284" s="3" t="s">
        <v>702</v>
      </c>
      <c r="O284" s="3" t="s">
        <v>705</v>
      </c>
      <c r="P284" s="3" t="s">
        <v>719</v>
      </c>
      <c r="Q284" s="3" t="s">
        <v>718</v>
      </c>
    </row>
    <row r="285" spans="1:17" x14ac:dyDescent="0.3">
      <c r="A285" s="3" t="s">
        <v>298</v>
      </c>
      <c r="B285" s="3" t="s">
        <v>633</v>
      </c>
      <c r="C285" s="3">
        <v>53</v>
      </c>
      <c r="D285" s="3" t="s">
        <v>689</v>
      </c>
      <c r="E285" s="3" t="s">
        <v>694</v>
      </c>
      <c r="F285" s="3" t="s">
        <v>698</v>
      </c>
      <c r="G285" s="4">
        <v>45234</v>
      </c>
      <c r="H285" s="4"/>
      <c r="I285" s="3">
        <v>3</v>
      </c>
      <c r="J285" s="3">
        <v>108956</v>
      </c>
      <c r="K285" s="3">
        <v>87</v>
      </c>
      <c r="L285" s="3">
        <v>5</v>
      </c>
      <c r="M285" s="3">
        <v>39</v>
      </c>
      <c r="N285" s="3" t="s">
        <v>703</v>
      </c>
      <c r="O285" s="3" t="s">
        <v>705</v>
      </c>
      <c r="P285" s="3" t="s">
        <v>717</v>
      </c>
      <c r="Q285" s="3" t="s">
        <v>714</v>
      </c>
    </row>
    <row r="286" spans="1:17" x14ac:dyDescent="0.3">
      <c r="A286" s="3" t="s">
        <v>299</v>
      </c>
      <c r="B286" s="3" t="s">
        <v>634</v>
      </c>
      <c r="C286" s="3">
        <v>26</v>
      </c>
      <c r="D286" s="3" t="s">
        <v>687</v>
      </c>
      <c r="E286" s="3" t="s">
        <v>691</v>
      </c>
      <c r="F286" s="3" t="s">
        <v>696</v>
      </c>
      <c r="G286" s="4">
        <v>44765</v>
      </c>
      <c r="H286" s="4">
        <v>45489</v>
      </c>
      <c r="I286" s="3">
        <v>18</v>
      </c>
      <c r="J286" s="3">
        <v>67827</v>
      </c>
      <c r="K286" s="3">
        <v>82</v>
      </c>
      <c r="L286" s="3">
        <v>5</v>
      </c>
      <c r="M286" s="3">
        <v>40</v>
      </c>
      <c r="N286" s="3" t="s">
        <v>701</v>
      </c>
      <c r="O286" s="3" t="s">
        <v>704</v>
      </c>
      <c r="P286" s="3" t="s">
        <v>715</v>
      </c>
      <c r="Q286" s="3" t="s">
        <v>718</v>
      </c>
    </row>
    <row r="287" spans="1:17" x14ac:dyDescent="0.3">
      <c r="A287" s="3" t="s">
        <v>300</v>
      </c>
      <c r="B287" s="3" t="s">
        <v>635</v>
      </c>
      <c r="C287" s="3">
        <v>48</v>
      </c>
      <c r="D287" s="3" t="s">
        <v>688</v>
      </c>
      <c r="E287" s="3" t="s">
        <v>691</v>
      </c>
      <c r="F287" s="3" t="s">
        <v>700</v>
      </c>
      <c r="G287" s="4">
        <v>45591</v>
      </c>
      <c r="H287" s="4">
        <v>46142</v>
      </c>
      <c r="I287" s="3">
        <v>8</v>
      </c>
      <c r="J287" s="3">
        <v>36300</v>
      </c>
      <c r="K287" s="3">
        <v>99</v>
      </c>
      <c r="L287" s="3">
        <v>4</v>
      </c>
      <c r="M287" s="3">
        <v>7</v>
      </c>
      <c r="N287" s="3" t="s">
        <v>702</v>
      </c>
      <c r="O287" s="3" t="s">
        <v>704</v>
      </c>
      <c r="P287" s="3" t="s">
        <v>717</v>
      </c>
      <c r="Q287" s="3" t="s">
        <v>716</v>
      </c>
    </row>
    <row r="288" spans="1:17" x14ac:dyDescent="0.3">
      <c r="A288" s="3" t="s">
        <v>301</v>
      </c>
      <c r="B288" s="3" t="s">
        <v>636</v>
      </c>
      <c r="C288" s="3">
        <v>32</v>
      </c>
      <c r="D288" s="3" t="s">
        <v>690</v>
      </c>
      <c r="E288" s="3" t="s">
        <v>692</v>
      </c>
      <c r="F288" s="3" t="s">
        <v>696</v>
      </c>
      <c r="G288" s="4">
        <v>45450</v>
      </c>
      <c r="H288" s="4">
        <v>46142</v>
      </c>
      <c r="I288" s="3">
        <v>1</v>
      </c>
      <c r="J288" s="3">
        <v>46473</v>
      </c>
      <c r="K288" s="3">
        <v>85</v>
      </c>
      <c r="L288" s="3">
        <v>3</v>
      </c>
      <c r="M288" s="3">
        <v>33</v>
      </c>
      <c r="N288" s="3" t="s">
        <v>701</v>
      </c>
      <c r="O288" s="3" t="s">
        <v>704</v>
      </c>
      <c r="P288" s="3" t="s">
        <v>715</v>
      </c>
      <c r="Q288" s="3" t="s">
        <v>718</v>
      </c>
    </row>
    <row r="289" spans="1:17" x14ac:dyDescent="0.3">
      <c r="A289" s="3" t="s">
        <v>302</v>
      </c>
      <c r="B289" s="3" t="s">
        <v>637</v>
      </c>
      <c r="C289" s="3">
        <v>31</v>
      </c>
      <c r="D289" s="3" t="s">
        <v>686</v>
      </c>
      <c r="E289" s="3" t="s">
        <v>691</v>
      </c>
      <c r="F289" s="3" t="s">
        <v>699</v>
      </c>
      <c r="G289" s="4">
        <v>45800</v>
      </c>
      <c r="H289" s="4"/>
      <c r="I289" s="3">
        <v>4</v>
      </c>
      <c r="J289" s="3">
        <v>28847</v>
      </c>
      <c r="K289" s="3">
        <v>80</v>
      </c>
      <c r="L289" s="3">
        <v>4</v>
      </c>
      <c r="M289" s="3">
        <v>17</v>
      </c>
      <c r="N289" s="3" t="s">
        <v>701</v>
      </c>
      <c r="O289" s="3" t="s">
        <v>705</v>
      </c>
      <c r="P289" s="3" t="s">
        <v>715</v>
      </c>
      <c r="Q289" s="3" t="s">
        <v>716</v>
      </c>
    </row>
    <row r="290" spans="1:17" x14ac:dyDescent="0.3">
      <c r="A290" s="3" t="s">
        <v>303</v>
      </c>
      <c r="B290" s="3" t="s">
        <v>638</v>
      </c>
      <c r="C290" s="3">
        <v>57</v>
      </c>
      <c r="D290" s="3" t="s">
        <v>688</v>
      </c>
      <c r="E290" s="3" t="s">
        <v>692</v>
      </c>
      <c r="F290" s="3" t="s">
        <v>698</v>
      </c>
      <c r="G290" s="4">
        <v>44327</v>
      </c>
      <c r="H290" s="4"/>
      <c r="I290" s="3">
        <v>15</v>
      </c>
      <c r="J290" s="3">
        <v>91949</v>
      </c>
      <c r="K290" s="3">
        <v>81</v>
      </c>
      <c r="L290" s="3">
        <v>1</v>
      </c>
      <c r="M290" s="3">
        <v>31</v>
      </c>
      <c r="N290" s="3" t="s">
        <v>701</v>
      </c>
      <c r="O290" s="3" t="s">
        <v>705</v>
      </c>
      <c r="P290" s="3" t="s">
        <v>717</v>
      </c>
      <c r="Q290" s="3" t="s">
        <v>714</v>
      </c>
    </row>
    <row r="291" spans="1:17" x14ac:dyDescent="0.3">
      <c r="A291" s="3" t="s">
        <v>304</v>
      </c>
      <c r="B291" s="3" t="s">
        <v>639</v>
      </c>
      <c r="C291" s="3">
        <v>31</v>
      </c>
      <c r="D291" s="3" t="s">
        <v>686</v>
      </c>
      <c r="E291" s="3" t="s">
        <v>692</v>
      </c>
      <c r="F291" s="3" t="s">
        <v>697</v>
      </c>
      <c r="G291" s="4">
        <v>44538</v>
      </c>
      <c r="H291" s="4"/>
      <c r="I291" s="3">
        <v>4</v>
      </c>
      <c r="J291" s="3">
        <v>54937</v>
      </c>
      <c r="K291" s="3">
        <v>93</v>
      </c>
      <c r="L291" s="3">
        <v>5</v>
      </c>
      <c r="M291" s="3">
        <v>0</v>
      </c>
      <c r="N291" s="3" t="s">
        <v>703</v>
      </c>
      <c r="O291" s="3" t="s">
        <v>705</v>
      </c>
      <c r="P291" s="3" t="s">
        <v>715</v>
      </c>
      <c r="Q291" s="3" t="s">
        <v>718</v>
      </c>
    </row>
    <row r="292" spans="1:17" x14ac:dyDescent="0.3">
      <c r="A292" s="3" t="s">
        <v>305</v>
      </c>
      <c r="B292" s="3" t="s">
        <v>640</v>
      </c>
      <c r="C292" s="3">
        <v>23</v>
      </c>
      <c r="D292" s="3" t="s">
        <v>689</v>
      </c>
      <c r="E292" s="3" t="s">
        <v>693</v>
      </c>
      <c r="F292" s="3" t="s">
        <v>698</v>
      </c>
      <c r="G292" s="4">
        <v>45955</v>
      </c>
      <c r="H292" s="4">
        <v>46142</v>
      </c>
      <c r="I292" s="3">
        <v>5</v>
      </c>
      <c r="J292" s="3">
        <v>48456</v>
      </c>
      <c r="K292" s="3">
        <v>99</v>
      </c>
      <c r="L292" s="3">
        <v>1</v>
      </c>
      <c r="M292" s="3">
        <v>35</v>
      </c>
      <c r="N292" s="3" t="s">
        <v>701</v>
      </c>
      <c r="O292" s="3" t="s">
        <v>704</v>
      </c>
      <c r="P292" s="3" t="s">
        <v>719</v>
      </c>
      <c r="Q292" s="3" t="s">
        <v>718</v>
      </c>
    </row>
    <row r="293" spans="1:17" x14ac:dyDescent="0.3">
      <c r="A293" s="3" t="s">
        <v>306</v>
      </c>
      <c r="B293" s="3" t="s">
        <v>641</v>
      </c>
      <c r="C293" s="3">
        <v>35</v>
      </c>
      <c r="D293" s="3" t="s">
        <v>686</v>
      </c>
      <c r="E293" s="3" t="s">
        <v>691</v>
      </c>
      <c r="F293" s="3" t="s">
        <v>698</v>
      </c>
      <c r="G293" s="4">
        <v>45713</v>
      </c>
      <c r="H293" s="4"/>
      <c r="I293" s="3">
        <v>11</v>
      </c>
      <c r="J293" s="3">
        <v>60554</v>
      </c>
      <c r="K293" s="3">
        <v>96</v>
      </c>
      <c r="L293" s="3">
        <v>1</v>
      </c>
      <c r="M293" s="3">
        <v>36</v>
      </c>
      <c r="N293" s="3" t="s">
        <v>702</v>
      </c>
      <c r="O293" s="3" t="s">
        <v>705</v>
      </c>
      <c r="P293" s="3" t="s">
        <v>715</v>
      </c>
      <c r="Q293" s="3" t="s">
        <v>718</v>
      </c>
    </row>
    <row r="294" spans="1:17" x14ac:dyDescent="0.3">
      <c r="A294" s="3" t="s">
        <v>307</v>
      </c>
      <c r="B294" s="3" t="s">
        <v>642</v>
      </c>
      <c r="C294" s="3">
        <v>35</v>
      </c>
      <c r="D294" s="3" t="s">
        <v>687</v>
      </c>
      <c r="E294" s="3" t="s">
        <v>692</v>
      </c>
      <c r="F294" s="3" t="s">
        <v>698</v>
      </c>
      <c r="G294" s="4">
        <v>44441</v>
      </c>
      <c r="H294" s="4">
        <v>44898</v>
      </c>
      <c r="I294" s="3">
        <v>3</v>
      </c>
      <c r="J294" s="3">
        <v>85960</v>
      </c>
      <c r="K294" s="3">
        <v>97</v>
      </c>
      <c r="L294" s="3">
        <v>3</v>
      </c>
      <c r="M294" s="3">
        <v>19</v>
      </c>
      <c r="N294" s="3" t="s">
        <v>702</v>
      </c>
      <c r="O294" s="3" t="s">
        <v>704</v>
      </c>
      <c r="P294" s="3" t="s">
        <v>715</v>
      </c>
      <c r="Q294" s="3" t="s">
        <v>714</v>
      </c>
    </row>
    <row r="295" spans="1:17" x14ac:dyDescent="0.3">
      <c r="A295" s="3" t="s">
        <v>308</v>
      </c>
      <c r="B295" s="3" t="s">
        <v>643</v>
      </c>
      <c r="C295" s="3">
        <v>21</v>
      </c>
      <c r="D295" s="3" t="s">
        <v>686</v>
      </c>
      <c r="E295" s="3" t="s">
        <v>691</v>
      </c>
      <c r="F295" s="3" t="s">
        <v>699</v>
      </c>
      <c r="G295" s="4">
        <v>44373</v>
      </c>
      <c r="H295" s="4"/>
      <c r="I295" s="3">
        <v>19</v>
      </c>
      <c r="J295" s="3">
        <v>64834</v>
      </c>
      <c r="K295" s="3">
        <v>93</v>
      </c>
      <c r="L295" s="3">
        <v>5</v>
      </c>
      <c r="M295" s="3">
        <v>15</v>
      </c>
      <c r="N295" s="3" t="s">
        <v>702</v>
      </c>
      <c r="O295" s="3" t="s">
        <v>705</v>
      </c>
      <c r="P295" s="3" t="s">
        <v>719</v>
      </c>
      <c r="Q295" s="3" t="s">
        <v>718</v>
      </c>
    </row>
    <row r="296" spans="1:17" x14ac:dyDescent="0.3">
      <c r="A296" s="3" t="s">
        <v>309</v>
      </c>
      <c r="B296" s="3" t="s">
        <v>644</v>
      </c>
      <c r="C296" s="3">
        <v>33</v>
      </c>
      <c r="D296" s="3" t="s">
        <v>688</v>
      </c>
      <c r="E296" s="3" t="s">
        <v>695</v>
      </c>
      <c r="F296" s="3" t="s">
        <v>696</v>
      </c>
      <c r="G296" s="4">
        <v>44951</v>
      </c>
      <c r="H296" s="4"/>
      <c r="I296" s="3">
        <v>5</v>
      </c>
      <c r="J296" s="3">
        <v>25835</v>
      </c>
      <c r="K296" s="3">
        <v>99</v>
      </c>
      <c r="L296" s="3">
        <v>4</v>
      </c>
      <c r="M296" s="3">
        <v>1</v>
      </c>
      <c r="N296" s="3" t="s">
        <v>703</v>
      </c>
      <c r="O296" s="3" t="s">
        <v>705</v>
      </c>
      <c r="P296" s="3" t="s">
        <v>715</v>
      </c>
      <c r="Q296" s="3" t="s">
        <v>716</v>
      </c>
    </row>
    <row r="297" spans="1:17" x14ac:dyDescent="0.3">
      <c r="A297" s="3" t="s">
        <v>310</v>
      </c>
      <c r="B297" s="3" t="s">
        <v>645</v>
      </c>
      <c r="C297" s="3">
        <v>21</v>
      </c>
      <c r="D297" s="3" t="s">
        <v>686</v>
      </c>
      <c r="E297" s="3" t="s">
        <v>692</v>
      </c>
      <c r="F297" s="3" t="s">
        <v>698</v>
      </c>
      <c r="G297" s="4">
        <v>45306</v>
      </c>
      <c r="H297" s="4"/>
      <c r="I297" s="3">
        <v>10</v>
      </c>
      <c r="J297" s="3">
        <v>38624</v>
      </c>
      <c r="K297" s="3">
        <v>76</v>
      </c>
      <c r="L297" s="3">
        <v>5</v>
      </c>
      <c r="M297" s="3">
        <v>15</v>
      </c>
      <c r="N297" s="3" t="s">
        <v>702</v>
      </c>
      <c r="O297" s="3" t="s">
        <v>705</v>
      </c>
      <c r="P297" s="3" t="s">
        <v>719</v>
      </c>
      <c r="Q297" s="3" t="s">
        <v>716</v>
      </c>
    </row>
    <row r="298" spans="1:17" x14ac:dyDescent="0.3">
      <c r="A298" s="3" t="s">
        <v>311</v>
      </c>
      <c r="B298" s="3" t="s">
        <v>646</v>
      </c>
      <c r="C298" s="3">
        <v>38</v>
      </c>
      <c r="D298" s="3" t="s">
        <v>690</v>
      </c>
      <c r="E298" s="3" t="s">
        <v>692</v>
      </c>
      <c r="F298" s="3" t="s">
        <v>696</v>
      </c>
      <c r="G298" s="4">
        <v>45204</v>
      </c>
      <c r="H298" s="4">
        <v>45585</v>
      </c>
      <c r="I298" s="3">
        <v>17</v>
      </c>
      <c r="J298" s="3">
        <v>79140</v>
      </c>
      <c r="K298" s="3">
        <v>92</v>
      </c>
      <c r="L298" s="3">
        <v>3</v>
      </c>
      <c r="M298" s="3">
        <v>29</v>
      </c>
      <c r="N298" s="3" t="s">
        <v>701</v>
      </c>
      <c r="O298" s="3" t="s">
        <v>704</v>
      </c>
      <c r="P298" s="3" t="s">
        <v>713</v>
      </c>
      <c r="Q298" s="3" t="s">
        <v>718</v>
      </c>
    </row>
    <row r="299" spans="1:17" x14ac:dyDescent="0.3">
      <c r="A299" s="3" t="s">
        <v>312</v>
      </c>
      <c r="B299" s="3" t="s">
        <v>647</v>
      </c>
      <c r="C299" s="3">
        <v>29</v>
      </c>
      <c r="D299" s="3" t="s">
        <v>688</v>
      </c>
      <c r="E299" s="3" t="s">
        <v>694</v>
      </c>
      <c r="F299" s="3" t="s">
        <v>700</v>
      </c>
      <c r="G299" s="4">
        <v>44370</v>
      </c>
      <c r="H299" s="4">
        <v>45495</v>
      </c>
      <c r="I299" s="3">
        <v>19</v>
      </c>
      <c r="J299" s="3">
        <v>99425</v>
      </c>
      <c r="K299" s="3">
        <v>71</v>
      </c>
      <c r="L299" s="3">
        <v>4</v>
      </c>
      <c r="M299" s="3">
        <v>8</v>
      </c>
      <c r="N299" s="3" t="s">
        <v>703</v>
      </c>
      <c r="O299" s="3" t="s">
        <v>704</v>
      </c>
      <c r="P299" s="3" t="s">
        <v>715</v>
      </c>
      <c r="Q299" s="3" t="s">
        <v>714</v>
      </c>
    </row>
    <row r="300" spans="1:17" x14ac:dyDescent="0.3">
      <c r="A300" s="3" t="s">
        <v>313</v>
      </c>
      <c r="B300" s="3" t="s">
        <v>648</v>
      </c>
      <c r="C300" s="3">
        <v>41</v>
      </c>
      <c r="D300" s="3" t="s">
        <v>689</v>
      </c>
      <c r="E300" s="3" t="s">
        <v>693</v>
      </c>
      <c r="F300" s="3" t="s">
        <v>699</v>
      </c>
      <c r="G300" s="4">
        <v>44794</v>
      </c>
      <c r="H300" s="4"/>
      <c r="I300" s="3">
        <v>15</v>
      </c>
      <c r="J300" s="3">
        <v>60645</v>
      </c>
      <c r="K300" s="3">
        <v>77</v>
      </c>
      <c r="L300" s="3">
        <v>1</v>
      </c>
      <c r="M300" s="3">
        <v>12</v>
      </c>
      <c r="N300" s="3" t="s">
        <v>703</v>
      </c>
      <c r="O300" s="3" t="s">
        <v>705</v>
      </c>
      <c r="P300" s="3" t="s">
        <v>713</v>
      </c>
      <c r="Q300" s="3" t="s">
        <v>718</v>
      </c>
    </row>
    <row r="301" spans="1:17" x14ac:dyDescent="0.3">
      <c r="A301" s="3" t="s">
        <v>314</v>
      </c>
      <c r="B301" s="3" t="s">
        <v>649</v>
      </c>
      <c r="C301" s="3">
        <v>27</v>
      </c>
      <c r="D301" s="3" t="s">
        <v>685</v>
      </c>
      <c r="E301" s="3" t="s">
        <v>694</v>
      </c>
      <c r="F301" s="3" t="s">
        <v>698</v>
      </c>
      <c r="G301" s="4">
        <v>45794</v>
      </c>
      <c r="H301" s="4">
        <v>46142</v>
      </c>
      <c r="I301" s="3">
        <v>11</v>
      </c>
      <c r="J301" s="3">
        <v>78282</v>
      </c>
      <c r="K301" s="3">
        <v>73</v>
      </c>
      <c r="L301" s="3">
        <v>5</v>
      </c>
      <c r="M301" s="3">
        <v>22</v>
      </c>
      <c r="N301" s="3" t="s">
        <v>703</v>
      </c>
      <c r="O301" s="3" t="s">
        <v>704</v>
      </c>
      <c r="P301" s="3" t="s">
        <v>715</v>
      </c>
      <c r="Q301" s="3" t="s">
        <v>718</v>
      </c>
    </row>
    <row r="302" spans="1:17" x14ac:dyDescent="0.3">
      <c r="A302" s="3" t="s">
        <v>315</v>
      </c>
      <c r="B302" s="3" t="s">
        <v>650</v>
      </c>
      <c r="C302" s="3">
        <v>50</v>
      </c>
      <c r="D302" s="3" t="s">
        <v>686</v>
      </c>
      <c r="E302" s="3" t="s">
        <v>692</v>
      </c>
      <c r="F302" s="3" t="s">
        <v>700</v>
      </c>
      <c r="G302" s="4">
        <v>45122</v>
      </c>
      <c r="H302" s="4"/>
      <c r="I302" s="3">
        <v>6</v>
      </c>
      <c r="J302" s="3">
        <v>114922</v>
      </c>
      <c r="K302" s="3">
        <v>79</v>
      </c>
      <c r="L302" s="3">
        <v>5</v>
      </c>
      <c r="M302" s="3">
        <v>2</v>
      </c>
      <c r="N302" s="3" t="s">
        <v>703</v>
      </c>
      <c r="O302" s="3" t="s">
        <v>705</v>
      </c>
      <c r="P302" s="3" t="s">
        <v>717</v>
      </c>
      <c r="Q302" s="3" t="s">
        <v>714</v>
      </c>
    </row>
    <row r="303" spans="1:17" x14ac:dyDescent="0.3">
      <c r="A303" s="3" t="s">
        <v>316</v>
      </c>
      <c r="B303" s="3" t="s">
        <v>651</v>
      </c>
      <c r="C303" s="3">
        <v>30</v>
      </c>
      <c r="D303" s="3" t="s">
        <v>690</v>
      </c>
      <c r="E303" s="3" t="s">
        <v>691</v>
      </c>
      <c r="F303" s="3" t="s">
        <v>699</v>
      </c>
      <c r="G303" s="4">
        <v>45908</v>
      </c>
      <c r="H303" s="4"/>
      <c r="I303" s="3">
        <v>13</v>
      </c>
      <c r="J303" s="3">
        <v>92300</v>
      </c>
      <c r="K303" s="3">
        <v>71</v>
      </c>
      <c r="L303" s="3">
        <v>3</v>
      </c>
      <c r="M303" s="3">
        <v>16</v>
      </c>
      <c r="N303" s="3" t="s">
        <v>703</v>
      </c>
      <c r="O303" s="3" t="s">
        <v>705</v>
      </c>
      <c r="P303" s="3" t="s">
        <v>715</v>
      </c>
      <c r="Q303" s="3" t="s">
        <v>714</v>
      </c>
    </row>
    <row r="304" spans="1:17" x14ac:dyDescent="0.3">
      <c r="A304" s="3" t="s">
        <v>317</v>
      </c>
      <c r="B304" s="3" t="s">
        <v>652</v>
      </c>
      <c r="C304" s="3">
        <v>49</v>
      </c>
      <c r="D304" s="3" t="s">
        <v>687</v>
      </c>
      <c r="E304" s="3" t="s">
        <v>695</v>
      </c>
      <c r="F304" s="3" t="s">
        <v>696</v>
      </c>
      <c r="G304" s="4">
        <v>44260</v>
      </c>
      <c r="H304" s="4"/>
      <c r="I304" s="3">
        <v>4</v>
      </c>
      <c r="J304" s="3">
        <v>85560</v>
      </c>
      <c r="K304" s="3">
        <v>73</v>
      </c>
      <c r="L304" s="3">
        <v>2</v>
      </c>
      <c r="M304" s="3">
        <v>7</v>
      </c>
      <c r="N304" s="3" t="s">
        <v>703</v>
      </c>
      <c r="O304" s="3" t="s">
        <v>705</v>
      </c>
      <c r="P304" s="3" t="s">
        <v>717</v>
      </c>
      <c r="Q304" s="3" t="s">
        <v>714</v>
      </c>
    </row>
    <row r="305" spans="1:17" x14ac:dyDescent="0.3">
      <c r="A305" s="3" t="s">
        <v>318</v>
      </c>
      <c r="B305" s="3" t="s">
        <v>653</v>
      </c>
      <c r="C305" s="3">
        <v>33</v>
      </c>
      <c r="D305" s="3" t="s">
        <v>689</v>
      </c>
      <c r="E305" s="3" t="s">
        <v>693</v>
      </c>
      <c r="F305" s="3" t="s">
        <v>700</v>
      </c>
      <c r="G305" s="4">
        <v>44323</v>
      </c>
      <c r="H305" s="4">
        <v>44680</v>
      </c>
      <c r="I305" s="3">
        <v>19</v>
      </c>
      <c r="J305" s="3">
        <v>101823</v>
      </c>
      <c r="K305" s="3">
        <v>78</v>
      </c>
      <c r="L305" s="3">
        <v>1</v>
      </c>
      <c r="M305" s="3">
        <v>1</v>
      </c>
      <c r="N305" s="3" t="s">
        <v>703</v>
      </c>
      <c r="O305" s="3" t="s">
        <v>704</v>
      </c>
      <c r="P305" s="3" t="s">
        <v>715</v>
      </c>
      <c r="Q305" s="3" t="s">
        <v>714</v>
      </c>
    </row>
    <row r="306" spans="1:17" x14ac:dyDescent="0.3">
      <c r="A306" s="3" t="s">
        <v>319</v>
      </c>
      <c r="B306" s="3" t="s">
        <v>654</v>
      </c>
      <c r="C306" s="3">
        <v>29</v>
      </c>
      <c r="D306" s="3" t="s">
        <v>690</v>
      </c>
      <c r="E306" s="3" t="s">
        <v>693</v>
      </c>
      <c r="F306" s="3" t="s">
        <v>700</v>
      </c>
      <c r="G306" s="4">
        <v>44601</v>
      </c>
      <c r="H306" s="4"/>
      <c r="I306" s="3">
        <v>2</v>
      </c>
      <c r="J306" s="3">
        <v>85423</v>
      </c>
      <c r="K306" s="3">
        <v>71</v>
      </c>
      <c r="L306" s="3">
        <v>2</v>
      </c>
      <c r="M306" s="3">
        <v>36</v>
      </c>
      <c r="N306" s="3" t="s">
        <v>702</v>
      </c>
      <c r="O306" s="3" t="s">
        <v>705</v>
      </c>
      <c r="P306" s="3" t="s">
        <v>715</v>
      </c>
      <c r="Q306" s="3" t="s">
        <v>714</v>
      </c>
    </row>
    <row r="307" spans="1:17" x14ac:dyDescent="0.3">
      <c r="A307" s="3" t="s">
        <v>320</v>
      </c>
      <c r="B307" s="3" t="s">
        <v>655</v>
      </c>
      <c r="C307" s="3">
        <v>52</v>
      </c>
      <c r="D307" s="3" t="s">
        <v>690</v>
      </c>
      <c r="E307" s="3" t="s">
        <v>694</v>
      </c>
      <c r="F307" s="3" t="s">
        <v>698</v>
      </c>
      <c r="G307" s="4">
        <v>45879</v>
      </c>
      <c r="H307" s="4"/>
      <c r="I307" s="3">
        <v>6</v>
      </c>
      <c r="J307" s="3">
        <v>71392</v>
      </c>
      <c r="K307" s="3">
        <v>76</v>
      </c>
      <c r="L307" s="3">
        <v>2</v>
      </c>
      <c r="M307" s="3">
        <v>17</v>
      </c>
      <c r="N307" s="3" t="s">
        <v>702</v>
      </c>
      <c r="O307" s="3" t="s">
        <v>705</v>
      </c>
      <c r="P307" s="3" t="s">
        <v>717</v>
      </c>
      <c r="Q307" s="3" t="s">
        <v>718</v>
      </c>
    </row>
    <row r="308" spans="1:17" x14ac:dyDescent="0.3">
      <c r="A308" s="3" t="s">
        <v>321</v>
      </c>
      <c r="B308" s="3" t="s">
        <v>656</v>
      </c>
      <c r="C308" s="3">
        <v>36</v>
      </c>
      <c r="D308" s="3" t="s">
        <v>688</v>
      </c>
      <c r="E308" s="3" t="s">
        <v>693</v>
      </c>
      <c r="F308" s="3" t="s">
        <v>698</v>
      </c>
      <c r="G308" s="4">
        <v>45110</v>
      </c>
      <c r="H308" s="4">
        <v>45270</v>
      </c>
      <c r="I308" s="3">
        <v>14</v>
      </c>
      <c r="J308" s="3">
        <v>97179</v>
      </c>
      <c r="K308" s="3">
        <v>85</v>
      </c>
      <c r="L308" s="3">
        <v>1</v>
      </c>
      <c r="M308" s="3">
        <v>5</v>
      </c>
      <c r="N308" s="3" t="s">
        <v>702</v>
      </c>
      <c r="O308" s="3" t="s">
        <v>704</v>
      </c>
      <c r="P308" s="3" t="s">
        <v>713</v>
      </c>
      <c r="Q308" s="3" t="s">
        <v>714</v>
      </c>
    </row>
    <row r="309" spans="1:17" x14ac:dyDescent="0.3">
      <c r="A309" s="3" t="s">
        <v>322</v>
      </c>
      <c r="B309" s="3" t="s">
        <v>657</v>
      </c>
      <c r="C309" s="3">
        <v>33</v>
      </c>
      <c r="D309" s="3" t="s">
        <v>688</v>
      </c>
      <c r="E309" s="3" t="s">
        <v>695</v>
      </c>
      <c r="F309" s="3" t="s">
        <v>696</v>
      </c>
      <c r="G309" s="4">
        <v>44981</v>
      </c>
      <c r="H309" s="4">
        <v>45929</v>
      </c>
      <c r="I309" s="3">
        <v>18</v>
      </c>
      <c r="J309" s="3">
        <v>27559</v>
      </c>
      <c r="K309" s="3">
        <v>82</v>
      </c>
      <c r="L309" s="3">
        <v>3</v>
      </c>
      <c r="M309" s="3">
        <v>30</v>
      </c>
      <c r="N309" s="3" t="s">
        <v>701</v>
      </c>
      <c r="O309" s="3" t="s">
        <v>704</v>
      </c>
      <c r="P309" s="3" t="s">
        <v>715</v>
      </c>
      <c r="Q309" s="3" t="s">
        <v>716</v>
      </c>
    </row>
    <row r="310" spans="1:17" x14ac:dyDescent="0.3">
      <c r="A310" s="3" t="s">
        <v>323</v>
      </c>
      <c r="B310" s="3" t="s">
        <v>658</v>
      </c>
      <c r="C310" s="3">
        <v>43</v>
      </c>
      <c r="D310" s="3" t="s">
        <v>687</v>
      </c>
      <c r="E310" s="3" t="s">
        <v>695</v>
      </c>
      <c r="F310" s="3" t="s">
        <v>699</v>
      </c>
      <c r="G310" s="4">
        <v>45797</v>
      </c>
      <c r="H310" s="4"/>
      <c r="I310" s="3">
        <v>13</v>
      </c>
      <c r="J310" s="3">
        <v>60446</v>
      </c>
      <c r="K310" s="3">
        <v>75</v>
      </c>
      <c r="L310" s="3">
        <v>1</v>
      </c>
      <c r="M310" s="3">
        <v>20</v>
      </c>
      <c r="N310" s="3" t="s">
        <v>701</v>
      </c>
      <c r="O310" s="3" t="s">
        <v>705</v>
      </c>
      <c r="P310" s="3" t="s">
        <v>713</v>
      </c>
      <c r="Q310" s="3" t="s">
        <v>718</v>
      </c>
    </row>
    <row r="311" spans="1:17" x14ac:dyDescent="0.3">
      <c r="A311" s="3" t="s">
        <v>324</v>
      </c>
      <c r="B311" s="3" t="s">
        <v>659</v>
      </c>
      <c r="C311" s="3">
        <v>24</v>
      </c>
      <c r="D311" s="3" t="s">
        <v>689</v>
      </c>
      <c r="E311" s="3" t="s">
        <v>695</v>
      </c>
      <c r="F311" s="3" t="s">
        <v>699</v>
      </c>
      <c r="G311" s="4">
        <v>44645</v>
      </c>
      <c r="H311" s="4">
        <v>45310</v>
      </c>
      <c r="I311" s="3">
        <v>19</v>
      </c>
      <c r="J311" s="3">
        <v>55508</v>
      </c>
      <c r="K311" s="3">
        <v>75</v>
      </c>
      <c r="L311" s="3">
        <v>1</v>
      </c>
      <c r="M311" s="3">
        <v>15</v>
      </c>
      <c r="N311" s="3" t="s">
        <v>701</v>
      </c>
      <c r="O311" s="3" t="s">
        <v>704</v>
      </c>
      <c r="P311" s="3" t="s">
        <v>719</v>
      </c>
      <c r="Q311" s="3" t="s">
        <v>718</v>
      </c>
    </row>
    <row r="312" spans="1:17" x14ac:dyDescent="0.3">
      <c r="A312" s="3" t="s">
        <v>325</v>
      </c>
      <c r="B312" s="3" t="s">
        <v>660</v>
      </c>
      <c r="C312" s="3">
        <v>55</v>
      </c>
      <c r="D312" s="3" t="s">
        <v>688</v>
      </c>
      <c r="E312" s="3" t="s">
        <v>692</v>
      </c>
      <c r="F312" s="3" t="s">
        <v>696</v>
      </c>
      <c r="G312" s="4">
        <v>44690</v>
      </c>
      <c r="H312" s="4"/>
      <c r="I312" s="3">
        <v>19</v>
      </c>
      <c r="J312" s="3">
        <v>75911</v>
      </c>
      <c r="K312" s="3">
        <v>81</v>
      </c>
      <c r="L312" s="3">
        <v>2</v>
      </c>
      <c r="M312" s="3">
        <v>11</v>
      </c>
      <c r="N312" s="3" t="s">
        <v>703</v>
      </c>
      <c r="O312" s="3" t="s">
        <v>705</v>
      </c>
      <c r="P312" s="3" t="s">
        <v>717</v>
      </c>
      <c r="Q312" s="3" t="s">
        <v>718</v>
      </c>
    </row>
    <row r="313" spans="1:17" x14ac:dyDescent="0.3">
      <c r="A313" s="3" t="s">
        <v>326</v>
      </c>
      <c r="B313" s="3" t="s">
        <v>661</v>
      </c>
      <c r="C313" s="3">
        <v>43</v>
      </c>
      <c r="D313" s="3" t="s">
        <v>687</v>
      </c>
      <c r="E313" s="3" t="s">
        <v>692</v>
      </c>
      <c r="F313" s="3" t="s">
        <v>699</v>
      </c>
      <c r="G313" s="4">
        <v>45410</v>
      </c>
      <c r="H313" s="4"/>
      <c r="I313" s="3">
        <v>19</v>
      </c>
      <c r="J313" s="3">
        <v>98873</v>
      </c>
      <c r="K313" s="3">
        <v>74</v>
      </c>
      <c r="L313" s="3">
        <v>5</v>
      </c>
      <c r="M313" s="3">
        <v>12</v>
      </c>
      <c r="N313" s="3" t="s">
        <v>702</v>
      </c>
      <c r="O313" s="3" t="s">
        <v>705</v>
      </c>
      <c r="P313" s="3" t="s">
        <v>713</v>
      </c>
      <c r="Q313" s="3" t="s">
        <v>714</v>
      </c>
    </row>
    <row r="314" spans="1:17" x14ac:dyDescent="0.3">
      <c r="A314" s="3" t="s">
        <v>327</v>
      </c>
      <c r="B314" s="3" t="s">
        <v>662</v>
      </c>
      <c r="C314" s="3">
        <v>32</v>
      </c>
      <c r="D314" s="3" t="s">
        <v>689</v>
      </c>
      <c r="E314" s="3" t="s">
        <v>692</v>
      </c>
      <c r="F314" s="3" t="s">
        <v>700</v>
      </c>
      <c r="G314" s="4">
        <v>45307</v>
      </c>
      <c r="H314" s="4"/>
      <c r="I314" s="3">
        <v>2</v>
      </c>
      <c r="J314" s="3">
        <v>55490</v>
      </c>
      <c r="K314" s="3">
        <v>89</v>
      </c>
      <c r="L314" s="3">
        <v>2</v>
      </c>
      <c r="M314" s="3">
        <v>1</v>
      </c>
      <c r="N314" s="3" t="s">
        <v>701</v>
      </c>
      <c r="O314" s="3" t="s">
        <v>705</v>
      </c>
      <c r="P314" s="3" t="s">
        <v>715</v>
      </c>
      <c r="Q314" s="3" t="s">
        <v>718</v>
      </c>
    </row>
    <row r="315" spans="1:17" x14ac:dyDescent="0.3">
      <c r="A315" s="3" t="s">
        <v>328</v>
      </c>
      <c r="B315" s="3" t="s">
        <v>663</v>
      </c>
      <c r="C315" s="3">
        <v>33</v>
      </c>
      <c r="D315" s="3" t="s">
        <v>685</v>
      </c>
      <c r="E315" s="3" t="s">
        <v>693</v>
      </c>
      <c r="F315" s="3" t="s">
        <v>696</v>
      </c>
      <c r="G315" s="4">
        <v>45175</v>
      </c>
      <c r="H315" s="4">
        <v>45944</v>
      </c>
      <c r="I315" s="3">
        <v>11</v>
      </c>
      <c r="J315" s="3">
        <v>32806</v>
      </c>
      <c r="K315" s="3">
        <v>70</v>
      </c>
      <c r="L315" s="3">
        <v>2</v>
      </c>
      <c r="M315" s="3">
        <v>37</v>
      </c>
      <c r="N315" s="3" t="s">
        <v>701</v>
      </c>
      <c r="O315" s="3" t="s">
        <v>704</v>
      </c>
      <c r="P315" s="3" t="s">
        <v>715</v>
      </c>
      <c r="Q315" s="3" t="s">
        <v>716</v>
      </c>
    </row>
    <row r="316" spans="1:17" x14ac:dyDescent="0.3">
      <c r="A316" s="3" t="s">
        <v>329</v>
      </c>
      <c r="B316" s="3" t="s">
        <v>664</v>
      </c>
      <c r="C316" s="3">
        <v>54</v>
      </c>
      <c r="D316" s="3" t="s">
        <v>686</v>
      </c>
      <c r="E316" s="3" t="s">
        <v>692</v>
      </c>
      <c r="F316" s="3" t="s">
        <v>699</v>
      </c>
      <c r="G316" s="4">
        <v>46075</v>
      </c>
      <c r="H316" s="4">
        <v>46142</v>
      </c>
      <c r="I316" s="3">
        <v>13</v>
      </c>
      <c r="J316" s="3">
        <v>101810</v>
      </c>
      <c r="K316" s="3">
        <v>73</v>
      </c>
      <c r="L316" s="3">
        <v>3</v>
      </c>
      <c r="M316" s="3">
        <v>19</v>
      </c>
      <c r="N316" s="3" t="s">
        <v>702</v>
      </c>
      <c r="O316" s="3" t="s">
        <v>704</v>
      </c>
      <c r="P316" s="3" t="s">
        <v>717</v>
      </c>
      <c r="Q316" s="3" t="s">
        <v>714</v>
      </c>
    </row>
    <row r="317" spans="1:17" x14ac:dyDescent="0.3">
      <c r="A317" s="3" t="s">
        <v>330</v>
      </c>
      <c r="B317" s="3" t="s">
        <v>665</v>
      </c>
      <c r="C317" s="3">
        <v>52</v>
      </c>
      <c r="D317" s="3" t="s">
        <v>688</v>
      </c>
      <c r="E317" s="3" t="s">
        <v>693</v>
      </c>
      <c r="F317" s="3" t="s">
        <v>696</v>
      </c>
      <c r="G317" s="4">
        <v>44476</v>
      </c>
      <c r="H317" s="4">
        <v>45460</v>
      </c>
      <c r="I317" s="3">
        <v>18</v>
      </c>
      <c r="J317" s="3">
        <v>115906</v>
      </c>
      <c r="K317" s="3">
        <v>98</v>
      </c>
      <c r="L317" s="3">
        <v>5</v>
      </c>
      <c r="M317" s="3">
        <v>22</v>
      </c>
      <c r="N317" s="3" t="s">
        <v>703</v>
      </c>
      <c r="O317" s="3" t="s">
        <v>704</v>
      </c>
      <c r="P317" s="3" t="s">
        <v>717</v>
      </c>
      <c r="Q317" s="3" t="s">
        <v>714</v>
      </c>
    </row>
    <row r="318" spans="1:17" x14ac:dyDescent="0.3">
      <c r="A318" s="3" t="s">
        <v>331</v>
      </c>
      <c r="B318" s="3" t="s">
        <v>666</v>
      </c>
      <c r="C318" s="3">
        <v>40</v>
      </c>
      <c r="D318" s="3" t="s">
        <v>688</v>
      </c>
      <c r="E318" s="3" t="s">
        <v>693</v>
      </c>
      <c r="F318" s="3" t="s">
        <v>696</v>
      </c>
      <c r="G318" s="4">
        <v>45560</v>
      </c>
      <c r="H318" s="4">
        <v>46142</v>
      </c>
      <c r="I318" s="3">
        <v>6</v>
      </c>
      <c r="J318" s="3">
        <v>25235</v>
      </c>
      <c r="K318" s="3">
        <v>100</v>
      </c>
      <c r="L318" s="3">
        <v>5</v>
      </c>
      <c r="M318" s="3">
        <v>25</v>
      </c>
      <c r="N318" s="3" t="s">
        <v>701</v>
      </c>
      <c r="O318" s="3" t="s">
        <v>704</v>
      </c>
      <c r="P318" s="3" t="s">
        <v>713</v>
      </c>
      <c r="Q318" s="3" t="s">
        <v>716</v>
      </c>
    </row>
    <row r="319" spans="1:17" x14ac:dyDescent="0.3">
      <c r="A319" s="3" t="s">
        <v>332</v>
      </c>
      <c r="B319" s="3" t="s">
        <v>667</v>
      </c>
      <c r="C319" s="3">
        <v>35</v>
      </c>
      <c r="D319" s="3" t="s">
        <v>688</v>
      </c>
      <c r="E319" s="3" t="s">
        <v>695</v>
      </c>
      <c r="F319" s="3" t="s">
        <v>700</v>
      </c>
      <c r="G319" s="4">
        <v>44263</v>
      </c>
      <c r="H319" s="4">
        <v>45004</v>
      </c>
      <c r="I319" s="3">
        <v>16</v>
      </c>
      <c r="J319" s="3">
        <v>43434</v>
      </c>
      <c r="K319" s="3">
        <v>80</v>
      </c>
      <c r="L319" s="3">
        <v>1</v>
      </c>
      <c r="M319" s="3">
        <v>15</v>
      </c>
      <c r="N319" s="3" t="s">
        <v>702</v>
      </c>
      <c r="O319" s="3" t="s">
        <v>704</v>
      </c>
      <c r="P319" s="3" t="s">
        <v>715</v>
      </c>
      <c r="Q319" s="3" t="s">
        <v>718</v>
      </c>
    </row>
    <row r="320" spans="1:17" x14ac:dyDescent="0.3">
      <c r="A320" s="3" t="s">
        <v>333</v>
      </c>
      <c r="B320" s="3" t="s">
        <v>668</v>
      </c>
      <c r="C320" s="3">
        <v>42</v>
      </c>
      <c r="D320" s="3" t="s">
        <v>689</v>
      </c>
      <c r="E320" s="3" t="s">
        <v>692</v>
      </c>
      <c r="F320" s="3" t="s">
        <v>699</v>
      </c>
      <c r="G320" s="4">
        <v>44851</v>
      </c>
      <c r="H320" s="4">
        <v>45122</v>
      </c>
      <c r="I320" s="3">
        <v>7</v>
      </c>
      <c r="J320" s="3">
        <v>57707</v>
      </c>
      <c r="K320" s="3">
        <v>92</v>
      </c>
      <c r="L320" s="3">
        <v>1</v>
      </c>
      <c r="M320" s="3">
        <v>22</v>
      </c>
      <c r="N320" s="3" t="s">
        <v>702</v>
      </c>
      <c r="O320" s="3" t="s">
        <v>704</v>
      </c>
      <c r="P320" s="3" t="s">
        <v>713</v>
      </c>
      <c r="Q320" s="3" t="s">
        <v>718</v>
      </c>
    </row>
    <row r="321" spans="1:17" x14ac:dyDescent="0.3">
      <c r="A321" s="3" t="s">
        <v>334</v>
      </c>
      <c r="B321" s="3" t="s">
        <v>669</v>
      </c>
      <c r="C321" s="3">
        <v>24</v>
      </c>
      <c r="D321" s="3" t="s">
        <v>689</v>
      </c>
      <c r="E321" s="3" t="s">
        <v>694</v>
      </c>
      <c r="F321" s="3" t="s">
        <v>698</v>
      </c>
      <c r="G321" s="4">
        <v>45808</v>
      </c>
      <c r="H321" s="4">
        <v>45900</v>
      </c>
      <c r="I321" s="3">
        <v>6</v>
      </c>
      <c r="J321" s="3">
        <v>79266</v>
      </c>
      <c r="K321" s="3">
        <v>85</v>
      </c>
      <c r="L321" s="3">
        <v>4</v>
      </c>
      <c r="M321" s="3">
        <v>22</v>
      </c>
      <c r="N321" s="3" t="s">
        <v>701</v>
      </c>
      <c r="O321" s="3" t="s">
        <v>704</v>
      </c>
      <c r="P321" s="3" t="s">
        <v>719</v>
      </c>
      <c r="Q321" s="3" t="s">
        <v>718</v>
      </c>
    </row>
    <row r="322" spans="1:17" x14ac:dyDescent="0.3">
      <c r="A322" s="3" t="s">
        <v>335</v>
      </c>
      <c r="B322" s="3" t="s">
        <v>670</v>
      </c>
      <c r="C322" s="3">
        <v>57</v>
      </c>
      <c r="D322" s="3" t="s">
        <v>688</v>
      </c>
      <c r="E322" s="3" t="s">
        <v>691</v>
      </c>
      <c r="F322" s="3" t="s">
        <v>696</v>
      </c>
      <c r="G322" s="4">
        <v>44965</v>
      </c>
      <c r="H322" s="4">
        <v>46036</v>
      </c>
      <c r="I322" s="3">
        <v>15</v>
      </c>
      <c r="J322" s="3">
        <v>34661</v>
      </c>
      <c r="K322" s="3">
        <v>95</v>
      </c>
      <c r="L322" s="3">
        <v>1</v>
      </c>
      <c r="M322" s="3">
        <v>18</v>
      </c>
      <c r="N322" s="3" t="s">
        <v>703</v>
      </c>
      <c r="O322" s="3" t="s">
        <v>704</v>
      </c>
      <c r="P322" s="3" t="s">
        <v>717</v>
      </c>
      <c r="Q322" s="3" t="s">
        <v>716</v>
      </c>
    </row>
    <row r="323" spans="1:17" x14ac:dyDescent="0.3">
      <c r="A323" s="3" t="s">
        <v>336</v>
      </c>
      <c r="B323" s="3" t="s">
        <v>671</v>
      </c>
      <c r="C323" s="3">
        <v>27</v>
      </c>
      <c r="D323" s="3" t="s">
        <v>690</v>
      </c>
      <c r="E323" s="3" t="s">
        <v>693</v>
      </c>
      <c r="F323" s="3" t="s">
        <v>696</v>
      </c>
      <c r="G323" s="4">
        <v>44849</v>
      </c>
      <c r="H323" s="4"/>
      <c r="I323" s="3">
        <v>13</v>
      </c>
      <c r="J323" s="3">
        <v>46090</v>
      </c>
      <c r="K323" s="3">
        <v>93</v>
      </c>
      <c r="L323" s="3">
        <v>1</v>
      </c>
      <c r="M323" s="3">
        <v>35</v>
      </c>
      <c r="N323" s="3" t="s">
        <v>703</v>
      </c>
      <c r="O323" s="3" t="s">
        <v>705</v>
      </c>
      <c r="P323" s="3" t="s">
        <v>715</v>
      </c>
      <c r="Q323" s="3" t="s">
        <v>718</v>
      </c>
    </row>
    <row r="324" spans="1:17" x14ac:dyDescent="0.3">
      <c r="A324" s="3" t="s">
        <v>337</v>
      </c>
      <c r="B324" s="3" t="s">
        <v>672</v>
      </c>
      <c r="C324" s="3">
        <v>22</v>
      </c>
      <c r="D324" s="3" t="s">
        <v>689</v>
      </c>
      <c r="E324" s="3" t="s">
        <v>691</v>
      </c>
      <c r="F324" s="3" t="s">
        <v>697</v>
      </c>
      <c r="G324" s="4">
        <v>44889</v>
      </c>
      <c r="H324" s="4"/>
      <c r="I324" s="3">
        <v>14</v>
      </c>
      <c r="J324" s="3">
        <v>45591</v>
      </c>
      <c r="K324" s="3">
        <v>71</v>
      </c>
      <c r="L324" s="3">
        <v>1</v>
      </c>
      <c r="M324" s="3">
        <v>21</v>
      </c>
      <c r="N324" s="3" t="s">
        <v>703</v>
      </c>
      <c r="O324" s="3" t="s">
        <v>705</v>
      </c>
      <c r="P324" s="3" t="s">
        <v>719</v>
      </c>
      <c r="Q324" s="3" t="s">
        <v>718</v>
      </c>
    </row>
    <row r="325" spans="1:17" x14ac:dyDescent="0.3">
      <c r="A325" s="3" t="s">
        <v>338</v>
      </c>
      <c r="B325" s="3" t="s">
        <v>673</v>
      </c>
      <c r="C325" s="3">
        <v>56</v>
      </c>
      <c r="D325" s="3" t="s">
        <v>688</v>
      </c>
      <c r="E325" s="3" t="s">
        <v>695</v>
      </c>
      <c r="F325" s="3" t="s">
        <v>699</v>
      </c>
      <c r="G325" s="4">
        <v>44586</v>
      </c>
      <c r="H325" s="4"/>
      <c r="I325" s="3">
        <v>10</v>
      </c>
      <c r="J325" s="3">
        <v>63980</v>
      </c>
      <c r="K325" s="3">
        <v>77</v>
      </c>
      <c r="L325" s="3">
        <v>1</v>
      </c>
      <c r="M325" s="3">
        <v>3</v>
      </c>
      <c r="N325" s="3" t="s">
        <v>702</v>
      </c>
      <c r="O325" s="3" t="s">
        <v>705</v>
      </c>
      <c r="P325" s="3" t="s">
        <v>717</v>
      </c>
      <c r="Q325" s="3" t="s">
        <v>718</v>
      </c>
    </row>
    <row r="326" spans="1:17" x14ac:dyDescent="0.3">
      <c r="A326" s="3" t="s">
        <v>339</v>
      </c>
      <c r="B326" s="3" t="s">
        <v>674</v>
      </c>
      <c r="C326" s="3">
        <v>30</v>
      </c>
      <c r="D326" s="3" t="s">
        <v>690</v>
      </c>
      <c r="E326" s="3" t="s">
        <v>693</v>
      </c>
      <c r="F326" s="3" t="s">
        <v>700</v>
      </c>
      <c r="G326" s="4">
        <v>45367</v>
      </c>
      <c r="H326" s="4"/>
      <c r="I326" s="3">
        <v>14</v>
      </c>
      <c r="J326" s="3">
        <v>36485</v>
      </c>
      <c r="K326" s="3">
        <v>79</v>
      </c>
      <c r="L326" s="3">
        <v>5</v>
      </c>
      <c r="M326" s="3">
        <v>30</v>
      </c>
      <c r="N326" s="3" t="s">
        <v>703</v>
      </c>
      <c r="O326" s="3" t="s">
        <v>705</v>
      </c>
      <c r="P326" s="3" t="s">
        <v>715</v>
      </c>
      <c r="Q326" s="3" t="s">
        <v>716</v>
      </c>
    </row>
    <row r="327" spans="1:17" x14ac:dyDescent="0.3">
      <c r="A327" s="3" t="s">
        <v>340</v>
      </c>
      <c r="B327" s="3" t="s">
        <v>675</v>
      </c>
      <c r="C327" s="3">
        <v>31</v>
      </c>
      <c r="D327" s="3" t="s">
        <v>688</v>
      </c>
      <c r="E327" s="3" t="s">
        <v>693</v>
      </c>
      <c r="F327" s="3" t="s">
        <v>700</v>
      </c>
      <c r="G327" s="4">
        <v>44395</v>
      </c>
      <c r="H327" s="4">
        <v>44908</v>
      </c>
      <c r="I327" s="3">
        <v>16</v>
      </c>
      <c r="J327" s="3">
        <v>40139</v>
      </c>
      <c r="K327" s="3">
        <v>79</v>
      </c>
      <c r="L327" s="3">
        <v>4</v>
      </c>
      <c r="M327" s="3">
        <v>30</v>
      </c>
      <c r="N327" s="3" t="s">
        <v>702</v>
      </c>
      <c r="O327" s="3" t="s">
        <v>704</v>
      </c>
      <c r="P327" s="3" t="s">
        <v>715</v>
      </c>
      <c r="Q327" s="3" t="s">
        <v>718</v>
      </c>
    </row>
    <row r="328" spans="1:17" x14ac:dyDescent="0.3">
      <c r="A328" s="3" t="s">
        <v>341</v>
      </c>
      <c r="B328" s="3" t="s">
        <v>676</v>
      </c>
      <c r="C328" s="3">
        <v>26</v>
      </c>
      <c r="D328" s="3" t="s">
        <v>688</v>
      </c>
      <c r="E328" s="3" t="s">
        <v>695</v>
      </c>
      <c r="F328" s="3" t="s">
        <v>698</v>
      </c>
      <c r="G328" s="4">
        <v>46029</v>
      </c>
      <c r="H328" s="4"/>
      <c r="I328" s="3">
        <v>6</v>
      </c>
      <c r="J328" s="3">
        <v>73630</v>
      </c>
      <c r="K328" s="3">
        <v>98</v>
      </c>
      <c r="L328" s="3">
        <v>4</v>
      </c>
      <c r="M328" s="3">
        <v>23</v>
      </c>
      <c r="N328" s="3" t="s">
        <v>703</v>
      </c>
      <c r="O328" s="3" t="s">
        <v>705</v>
      </c>
      <c r="P328" s="3" t="s">
        <v>715</v>
      </c>
      <c r="Q328" s="3" t="s">
        <v>718</v>
      </c>
    </row>
    <row r="329" spans="1:17" x14ac:dyDescent="0.3">
      <c r="A329" s="3" t="s">
        <v>342</v>
      </c>
      <c r="B329" s="3" t="s">
        <v>677</v>
      </c>
      <c r="C329" s="3">
        <v>49</v>
      </c>
      <c r="D329" s="3" t="s">
        <v>689</v>
      </c>
      <c r="E329" s="3" t="s">
        <v>693</v>
      </c>
      <c r="F329" s="3" t="s">
        <v>696</v>
      </c>
      <c r="G329" s="4">
        <v>45109</v>
      </c>
      <c r="H329" s="4">
        <v>45738</v>
      </c>
      <c r="I329" s="3">
        <v>9</v>
      </c>
      <c r="J329" s="3">
        <v>98956</v>
      </c>
      <c r="K329" s="3">
        <v>71</v>
      </c>
      <c r="L329" s="3">
        <v>2</v>
      </c>
      <c r="M329" s="3">
        <v>6</v>
      </c>
      <c r="N329" s="3" t="s">
        <v>703</v>
      </c>
      <c r="O329" s="3" t="s">
        <v>704</v>
      </c>
      <c r="P329" s="3" t="s">
        <v>717</v>
      </c>
      <c r="Q329" s="3" t="s">
        <v>714</v>
      </c>
    </row>
    <row r="330" spans="1:17" x14ac:dyDescent="0.3">
      <c r="A330" s="3" t="s">
        <v>343</v>
      </c>
      <c r="B330" s="3" t="s">
        <v>678</v>
      </c>
      <c r="C330" s="3">
        <v>55</v>
      </c>
      <c r="D330" s="3" t="s">
        <v>689</v>
      </c>
      <c r="E330" s="3" t="s">
        <v>695</v>
      </c>
      <c r="F330" s="3" t="s">
        <v>696</v>
      </c>
      <c r="G330" s="4">
        <v>45565</v>
      </c>
      <c r="H330" s="4"/>
      <c r="I330" s="3">
        <v>18</v>
      </c>
      <c r="J330" s="3">
        <v>32993</v>
      </c>
      <c r="K330" s="3">
        <v>96</v>
      </c>
      <c r="L330" s="3">
        <v>4</v>
      </c>
      <c r="M330" s="3">
        <v>33</v>
      </c>
      <c r="N330" s="3" t="s">
        <v>702</v>
      </c>
      <c r="O330" s="3" t="s">
        <v>705</v>
      </c>
      <c r="P330" s="3" t="s">
        <v>717</v>
      </c>
      <c r="Q330" s="3" t="s">
        <v>716</v>
      </c>
    </row>
    <row r="331" spans="1:17" x14ac:dyDescent="0.3">
      <c r="A331" s="3" t="s">
        <v>344</v>
      </c>
      <c r="B331" s="3" t="s">
        <v>679</v>
      </c>
      <c r="C331" s="3">
        <v>57</v>
      </c>
      <c r="D331" s="3" t="s">
        <v>685</v>
      </c>
      <c r="E331" s="3" t="s">
        <v>694</v>
      </c>
      <c r="F331" s="3" t="s">
        <v>699</v>
      </c>
      <c r="G331" s="4">
        <v>45293</v>
      </c>
      <c r="H331" s="4"/>
      <c r="I331" s="3">
        <v>3</v>
      </c>
      <c r="J331" s="3">
        <v>76747</v>
      </c>
      <c r="K331" s="3">
        <v>98</v>
      </c>
      <c r="L331" s="3">
        <v>1</v>
      </c>
      <c r="M331" s="3">
        <v>32</v>
      </c>
      <c r="N331" s="3" t="s">
        <v>701</v>
      </c>
      <c r="O331" s="3" t="s">
        <v>705</v>
      </c>
      <c r="P331" s="3" t="s">
        <v>717</v>
      </c>
      <c r="Q331" s="3" t="s">
        <v>718</v>
      </c>
    </row>
    <row r="332" spans="1:17" x14ac:dyDescent="0.3">
      <c r="A332" s="3" t="s">
        <v>345</v>
      </c>
      <c r="B332" s="3" t="s">
        <v>680</v>
      </c>
      <c r="C332" s="3">
        <v>49</v>
      </c>
      <c r="D332" s="3" t="s">
        <v>685</v>
      </c>
      <c r="E332" s="3" t="s">
        <v>691</v>
      </c>
      <c r="F332" s="3" t="s">
        <v>696</v>
      </c>
      <c r="G332" s="4">
        <v>46041</v>
      </c>
      <c r="H332" s="4">
        <v>46142</v>
      </c>
      <c r="I332" s="3">
        <v>7</v>
      </c>
      <c r="J332" s="3">
        <v>41539</v>
      </c>
      <c r="K332" s="3">
        <v>71</v>
      </c>
      <c r="L332" s="3">
        <v>4</v>
      </c>
      <c r="M332" s="3">
        <v>5</v>
      </c>
      <c r="N332" s="3" t="s">
        <v>701</v>
      </c>
      <c r="O332" s="3" t="s">
        <v>704</v>
      </c>
      <c r="P332" s="3" t="s">
        <v>717</v>
      </c>
      <c r="Q332" s="3" t="s">
        <v>718</v>
      </c>
    </row>
    <row r="333" spans="1:17" x14ac:dyDescent="0.3">
      <c r="A333" s="3" t="s">
        <v>346</v>
      </c>
      <c r="B333" s="3" t="s">
        <v>681</v>
      </c>
      <c r="C333" s="3">
        <v>37</v>
      </c>
      <c r="D333" s="3" t="s">
        <v>686</v>
      </c>
      <c r="E333" s="3" t="s">
        <v>692</v>
      </c>
      <c r="F333" s="3" t="s">
        <v>700</v>
      </c>
      <c r="G333" s="4">
        <v>45088</v>
      </c>
      <c r="H333" s="4">
        <v>45480</v>
      </c>
      <c r="I333" s="3">
        <v>13</v>
      </c>
      <c r="J333" s="3">
        <v>97923</v>
      </c>
      <c r="K333" s="3">
        <v>82</v>
      </c>
      <c r="L333" s="3">
        <v>5</v>
      </c>
      <c r="M333" s="3">
        <v>20</v>
      </c>
      <c r="N333" s="3" t="s">
        <v>702</v>
      </c>
      <c r="O333" s="3" t="s">
        <v>704</v>
      </c>
      <c r="P333" s="3" t="s">
        <v>713</v>
      </c>
      <c r="Q333" s="3" t="s">
        <v>714</v>
      </c>
    </row>
    <row r="334" spans="1:17" x14ac:dyDescent="0.3">
      <c r="A334" s="3" t="s">
        <v>347</v>
      </c>
      <c r="B334" s="3" t="s">
        <v>682</v>
      </c>
      <c r="C334" s="3">
        <v>21</v>
      </c>
      <c r="D334" s="3" t="s">
        <v>688</v>
      </c>
      <c r="E334" s="3" t="s">
        <v>695</v>
      </c>
      <c r="F334" s="3" t="s">
        <v>697</v>
      </c>
      <c r="G334" s="4">
        <v>45261</v>
      </c>
      <c r="H334" s="4"/>
      <c r="I334" s="3">
        <v>17</v>
      </c>
      <c r="J334" s="3">
        <v>79997</v>
      </c>
      <c r="K334" s="3">
        <v>73</v>
      </c>
      <c r="L334" s="3">
        <v>4</v>
      </c>
      <c r="M334" s="3">
        <v>9</v>
      </c>
      <c r="N334" s="3" t="s">
        <v>703</v>
      </c>
      <c r="O334" s="3" t="s">
        <v>705</v>
      </c>
      <c r="P334" s="3" t="s">
        <v>719</v>
      </c>
      <c r="Q334" s="3" t="s">
        <v>718</v>
      </c>
    </row>
    <row r="335" spans="1:17" x14ac:dyDescent="0.3">
      <c r="A335" s="3" t="s">
        <v>348</v>
      </c>
      <c r="B335" s="3" t="s">
        <v>683</v>
      </c>
      <c r="C335" s="3">
        <v>57</v>
      </c>
      <c r="D335" s="3" t="s">
        <v>690</v>
      </c>
      <c r="E335" s="3" t="s">
        <v>693</v>
      </c>
      <c r="F335" s="3" t="s">
        <v>697</v>
      </c>
      <c r="G335" s="4">
        <v>45357</v>
      </c>
      <c r="H335" s="4">
        <v>45663</v>
      </c>
      <c r="I335" s="3">
        <v>12</v>
      </c>
      <c r="J335" s="3">
        <v>78856</v>
      </c>
      <c r="K335" s="3">
        <v>78</v>
      </c>
      <c r="L335" s="3">
        <v>4</v>
      </c>
      <c r="M335" s="3">
        <v>31</v>
      </c>
      <c r="N335" s="3" t="s">
        <v>701</v>
      </c>
      <c r="O335" s="3" t="s">
        <v>704</v>
      </c>
      <c r="P335" s="3" t="s">
        <v>717</v>
      </c>
      <c r="Q335" s="3" t="s">
        <v>718</v>
      </c>
    </row>
    <row r="336" spans="1:17" x14ac:dyDescent="0.3">
      <c r="A336" s="3" t="s">
        <v>349</v>
      </c>
      <c r="B336" s="3" t="s">
        <v>684</v>
      </c>
      <c r="C336" s="3">
        <v>23</v>
      </c>
      <c r="D336" s="3" t="s">
        <v>685</v>
      </c>
      <c r="E336" s="3" t="s">
        <v>693</v>
      </c>
      <c r="F336" s="3" t="s">
        <v>698</v>
      </c>
      <c r="G336" s="4">
        <v>45444</v>
      </c>
      <c r="H336" s="4"/>
      <c r="I336" s="3">
        <v>5</v>
      </c>
      <c r="J336" s="3">
        <v>106034</v>
      </c>
      <c r="K336" s="3">
        <v>89</v>
      </c>
      <c r="L336" s="3">
        <v>4</v>
      </c>
      <c r="M336" s="3">
        <v>2</v>
      </c>
      <c r="N336" s="3" t="s">
        <v>702</v>
      </c>
      <c r="O336" s="3" t="s">
        <v>705</v>
      </c>
      <c r="P336" s="3" t="s">
        <v>719</v>
      </c>
      <c r="Q336" s="3" t="s">
        <v>714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51"/>
  <sheetViews>
    <sheetView topLeftCell="M1" workbookViewId="0">
      <selection activeCell="H19" sqref="H19"/>
    </sheetView>
  </sheetViews>
  <sheetFormatPr defaultRowHeight="14.4" x14ac:dyDescent="0.3"/>
  <cols>
    <col min="1" max="1" width="13.77734375" customWidth="1"/>
    <col min="2" max="2" width="17" customWidth="1"/>
    <col min="4" max="4" width="12.88671875" customWidth="1"/>
    <col min="5" max="5" width="9.88671875" customWidth="1"/>
    <col min="7" max="7" width="13.44140625" customWidth="1"/>
    <col min="8" max="8" width="13.6640625" customWidth="1"/>
    <col min="9" max="9" width="17.44140625" customWidth="1"/>
    <col min="11" max="11" width="19.88671875" customWidth="1"/>
    <col min="12" max="12" width="19.6640625" customWidth="1"/>
    <col min="13" max="13" width="16.21875" customWidth="1"/>
    <col min="14" max="14" width="13" customWidth="1"/>
    <col min="15" max="15" width="9.6640625" customWidth="1"/>
    <col min="16" max="16" width="11.77734375" customWidth="1"/>
    <col min="17" max="17" width="12.77734375" customWidth="1"/>
  </cols>
  <sheetData>
    <row r="1" spans="1:17" x14ac:dyDescent="0.3">
      <c r="A1" t="s">
        <v>0</v>
      </c>
      <c r="B1" t="s">
        <v>1</v>
      </c>
      <c r="C1" t="s">
        <v>2</v>
      </c>
      <c r="D1" t="s">
        <v>3</v>
      </c>
      <c r="E1" t="s">
        <v>4</v>
      </c>
      <c r="F1" t="s">
        <v>5</v>
      </c>
      <c r="G1" t="s">
        <v>6</v>
      </c>
      <c r="H1" t="s">
        <v>7</v>
      </c>
      <c r="I1" t="s">
        <v>8</v>
      </c>
      <c r="J1" t="s">
        <v>9</v>
      </c>
      <c r="K1" t="s">
        <v>10</v>
      </c>
      <c r="L1" t="s">
        <v>11</v>
      </c>
      <c r="M1" t="s">
        <v>12</v>
      </c>
      <c r="N1" t="s">
        <v>13</v>
      </c>
      <c r="O1" t="s">
        <v>14</v>
      </c>
      <c r="P1" t="s">
        <v>706</v>
      </c>
      <c r="Q1" t="s">
        <v>707</v>
      </c>
    </row>
    <row r="2" spans="1:17" x14ac:dyDescent="0.3">
      <c r="A2" t="s">
        <v>346</v>
      </c>
      <c r="B2" t="s">
        <v>681</v>
      </c>
      <c r="C2">
        <v>37</v>
      </c>
      <c r="D2" t="s">
        <v>686</v>
      </c>
      <c r="E2" t="s">
        <v>692</v>
      </c>
      <c r="F2" t="s">
        <v>700</v>
      </c>
      <c r="G2" s="5">
        <v>45088</v>
      </c>
      <c r="H2" s="5">
        <v>45480</v>
      </c>
      <c r="I2">
        <v>13</v>
      </c>
      <c r="J2">
        <v>97923</v>
      </c>
      <c r="K2">
        <v>82</v>
      </c>
      <c r="L2">
        <v>5</v>
      </c>
      <c r="M2">
        <v>20</v>
      </c>
      <c r="N2" t="s">
        <v>702</v>
      </c>
      <c r="O2" t="s">
        <v>704</v>
      </c>
      <c r="P2" t="s">
        <v>713</v>
      </c>
      <c r="Q2" t="s">
        <v>714</v>
      </c>
    </row>
    <row r="3" spans="1:17" x14ac:dyDescent="0.3">
      <c r="A3" t="s">
        <v>329</v>
      </c>
      <c r="B3" t="s">
        <v>664</v>
      </c>
      <c r="C3">
        <v>54</v>
      </c>
      <c r="D3" t="s">
        <v>686</v>
      </c>
      <c r="E3" t="s">
        <v>692</v>
      </c>
      <c r="F3" t="s">
        <v>699</v>
      </c>
      <c r="G3" s="5">
        <v>46075</v>
      </c>
      <c r="H3" s="5">
        <v>46142</v>
      </c>
      <c r="I3">
        <v>13</v>
      </c>
      <c r="J3">
        <v>101810</v>
      </c>
      <c r="K3">
        <v>73</v>
      </c>
      <c r="L3">
        <v>3</v>
      </c>
      <c r="M3">
        <v>19</v>
      </c>
      <c r="N3" t="s">
        <v>702</v>
      </c>
      <c r="O3" t="s">
        <v>704</v>
      </c>
      <c r="P3" t="s">
        <v>717</v>
      </c>
      <c r="Q3" t="s">
        <v>714</v>
      </c>
    </row>
    <row r="4" spans="1:17" x14ac:dyDescent="0.3">
      <c r="A4" t="s">
        <v>17</v>
      </c>
      <c r="B4" t="s">
        <v>352</v>
      </c>
      <c r="C4">
        <v>58</v>
      </c>
      <c r="D4" t="s">
        <v>686</v>
      </c>
      <c r="E4" t="s">
        <v>692</v>
      </c>
      <c r="F4" t="s">
        <v>696</v>
      </c>
      <c r="G4" s="5">
        <v>44648</v>
      </c>
      <c r="I4">
        <v>14</v>
      </c>
      <c r="J4">
        <v>69597</v>
      </c>
      <c r="K4">
        <v>78</v>
      </c>
      <c r="L4">
        <v>2</v>
      </c>
      <c r="M4">
        <v>13</v>
      </c>
      <c r="N4" t="s">
        <v>702</v>
      </c>
      <c r="O4" t="s">
        <v>705</v>
      </c>
      <c r="P4" t="s">
        <v>717</v>
      </c>
      <c r="Q4" t="s">
        <v>718</v>
      </c>
    </row>
    <row r="5" spans="1:17" x14ac:dyDescent="0.3">
      <c r="A5" t="s">
        <v>18</v>
      </c>
      <c r="B5" t="s">
        <v>353</v>
      </c>
      <c r="C5">
        <v>27</v>
      </c>
      <c r="D5" t="s">
        <v>686</v>
      </c>
      <c r="E5" t="s">
        <v>693</v>
      </c>
      <c r="F5" t="s">
        <v>697</v>
      </c>
      <c r="G5" s="5">
        <v>44406</v>
      </c>
      <c r="H5" s="5">
        <v>45274</v>
      </c>
      <c r="I5">
        <v>9</v>
      </c>
      <c r="J5">
        <v>30695</v>
      </c>
      <c r="K5">
        <v>93</v>
      </c>
      <c r="L5">
        <v>4</v>
      </c>
      <c r="M5">
        <v>34</v>
      </c>
      <c r="N5" t="s">
        <v>703</v>
      </c>
      <c r="O5" t="s">
        <v>704</v>
      </c>
      <c r="P5" t="s">
        <v>715</v>
      </c>
      <c r="Q5" t="s">
        <v>716</v>
      </c>
    </row>
    <row r="6" spans="1:17" x14ac:dyDescent="0.3">
      <c r="A6" t="s">
        <v>315</v>
      </c>
      <c r="B6" t="s">
        <v>650</v>
      </c>
      <c r="C6">
        <v>50</v>
      </c>
      <c r="D6" t="s">
        <v>686</v>
      </c>
      <c r="E6" t="s">
        <v>692</v>
      </c>
      <c r="F6" t="s">
        <v>700</v>
      </c>
      <c r="G6" s="5">
        <v>45122</v>
      </c>
      <c r="I6">
        <v>6</v>
      </c>
      <c r="J6">
        <v>114922</v>
      </c>
      <c r="K6">
        <v>79</v>
      </c>
      <c r="L6">
        <v>5</v>
      </c>
      <c r="M6">
        <v>2</v>
      </c>
      <c r="N6" t="s">
        <v>703</v>
      </c>
      <c r="O6" t="s">
        <v>705</v>
      </c>
      <c r="P6" t="s">
        <v>717</v>
      </c>
      <c r="Q6" t="s">
        <v>714</v>
      </c>
    </row>
    <row r="7" spans="1:17" x14ac:dyDescent="0.3">
      <c r="A7" t="s">
        <v>310</v>
      </c>
      <c r="B7" t="s">
        <v>645</v>
      </c>
      <c r="C7">
        <v>21</v>
      </c>
      <c r="D7" t="s">
        <v>686</v>
      </c>
      <c r="E7" t="s">
        <v>692</v>
      </c>
      <c r="F7" t="s">
        <v>698</v>
      </c>
      <c r="G7" s="5">
        <v>45306</v>
      </c>
      <c r="I7">
        <v>10</v>
      </c>
      <c r="J7">
        <v>38624</v>
      </c>
      <c r="K7">
        <v>76</v>
      </c>
      <c r="L7">
        <v>5</v>
      </c>
      <c r="M7">
        <v>15</v>
      </c>
      <c r="N7" t="s">
        <v>702</v>
      </c>
      <c r="O7" t="s">
        <v>705</v>
      </c>
      <c r="P7" t="s">
        <v>719</v>
      </c>
      <c r="Q7" t="s">
        <v>716</v>
      </c>
    </row>
    <row r="8" spans="1:17" x14ac:dyDescent="0.3">
      <c r="A8" t="s">
        <v>308</v>
      </c>
      <c r="B8" t="s">
        <v>643</v>
      </c>
      <c r="C8">
        <v>21</v>
      </c>
      <c r="D8" t="s">
        <v>686</v>
      </c>
      <c r="E8" t="s">
        <v>691</v>
      </c>
      <c r="F8" t="s">
        <v>699</v>
      </c>
      <c r="G8" s="5">
        <v>44373</v>
      </c>
      <c r="I8">
        <v>19</v>
      </c>
      <c r="J8">
        <v>64834</v>
      </c>
      <c r="K8">
        <v>93</v>
      </c>
      <c r="L8">
        <v>5</v>
      </c>
      <c r="M8">
        <v>15</v>
      </c>
      <c r="N8" t="s">
        <v>702</v>
      </c>
      <c r="O8" t="s">
        <v>705</v>
      </c>
      <c r="P8" t="s">
        <v>719</v>
      </c>
      <c r="Q8" t="s">
        <v>718</v>
      </c>
    </row>
    <row r="9" spans="1:17" x14ac:dyDescent="0.3">
      <c r="A9" t="s">
        <v>306</v>
      </c>
      <c r="B9" t="s">
        <v>641</v>
      </c>
      <c r="C9">
        <v>35</v>
      </c>
      <c r="D9" t="s">
        <v>686</v>
      </c>
      <c r="E9" t="s">
        <v>691</v>
      </c>
      <c r="F9" t="s">
        <v>698</v>
      </c>
      <c r="G9" s="5">
        <v>45713</v>
      </c>
      <c r="I9">
        <v>11</v>
      </c>
      <c r="J9">
        <v>60554</v>
      </c>
      <c r="K9">
        <v>96</v>
      </c>
      <c r="L9">
        <v>1</v>
      </c>
      <c r="M9">
        <v>36</v>
      </c>
      <c r="N9" t="s">
        <v>702</v>
      </c>
      <c r="O9" t="s">
        <v>705</v>
      </c>
      <c r="P9" t="s">
        <v>715</v>
      </c>
      <c r="Q9" t="s">
        <v>718</v>
      </c>
    </row>
    <row r="10" spans="1:17" x14ac:dyDescent="0.3">
      <c r="A10" t="s">
        <v>304</v>
      </c>
      <c r="B10" t="s">
        <v>639</v>
      </c>
      <c r="C10">
        <v>31</v>
      </c>
      <c r="D10" t="s">
        <v>686</v>
      </c>
      <c r="E10" t="s">
        <v>692</v>
      </c>
      <c r="F10" t="s">
        <v>697</v>
      </c>
      <c r="G10" s="5">
        <v>44538</v>
      </c>
      <c r="I10">
        <v>4</v>
      </c>
      <c r="J10">
        <v>54937</v>
      </c>
      <c r="K10">
        <v>93</v>
      </c>
      <c r="L10">
        <v>5</v>
      </c>
      <c r="M10">
        <v>0</v>
      </c>
      <c r="N10" t="s">
        <v>703</v>
      </c>
      <c r="O10" t="s">
        <v>705</v>
      </c>
      <c r="P10" t="s">
        <v>715</v>
      </c>
      <c r="Q10" t="s">
        <v>718</v>
      </c>
    </row>
    <row r="11" spans="1:17" x14ac:dyDescent="0.3">
      <c r="A11" t="s">
        <v>302</v>
      </c>
      <c r="B11" t="s">
        <v>637</v>
      </c>
      <c r="C11">
        <v>31</v>
      </c>
      <c r="D11" t="s">
        <v>686</v>
      </c>
      <c r="E11" t="s">
        <v>691</v>
      </c>
      <c r="F11" t="s">
        <v>699</v>
      </c>
      <c r="G11" s="5">
        <v>45800</v>
      </c>
      <c r="I11">
        <v>4</v>
      </c>
      <c r="J11">
        <v>28847</v>
      </c>
      <c r="K11">
        <v>80</v>
      </c>
      <c r="L11">
        <v>4</v>
      </c>
      <c r="M11">
        <v>17</v>
      </c>
      <c r="N11" t="s">
        <v>701</v>
      </c>
      <c r="O11" t="s">
        <v>705</v>
      </c>
      <c r="P11" t="s">
        <v>715</v>
      </c>
      <c r="Q11" t="s">
        <v>716</v>
      </c>
    </row>
    <row r="12" spans="1:17" x14ac:dyDescent="0.3">
      <c r="A12" t="s">
        <v>296</v>
      </c>
      <c r="B12" t="s">
        <v>631</v>
      </c>
      <c r="C12">
        <v>21</v>
      </c>
      <c r="D12" t="s">
        <v>686</v>
      </c>
      <c r="E12" t="s">
        <v>693</v>
      </c>
      <c r="F12" t="s">
        <v>696</v>
      </c>
      <c r="G12" s="5">
        <v>45413</v>
      </c>
      <c r="H12" s="5">
        <v>46142</v>
      </c>
      <c r="I12">
        <v>13</v>
      </c>
      <c r="J12">
        <v>99498</v>
      </c>
      <c r="K12">
        <v>83</v>
      </c>
      <c r="L12">
        <v>3</v>
      </c>
      <c r="M12">
        <v>34</v>
      </c>
      <c r="N12" t="s">
        <v>701</v>
      </c>
      <c r="O12" t="s">
        <v>704</v>
      </c>
      <c r="P12" t="s">
        <v>719</v>
      </c>
      <c r="Q12" t="s">
        <v>714</v>
      </c>
    </row>
    <row r="13" spans="1:17" x14ac:dyDescent="0.3">
      <c r="A13" t="s">
        <v>292</v>
      </c>
      <c r="B13" t="s">
        <v>627</v>
      </c>
      <c r="C13">
        <v>49</v>
      </c>
      <c r="D13" t="s">
        <v>686</v>
      </c>
      <c r="E13" t="s">
        <v>691</v>
      </c>
      <c r="F13" t="s">
        <v>696</v>
      </c>
      <c r="G13" s="5">
        <v>45283</v>
      </c>
      <c r="H13" s="5">
        <v>45709</v>
      </c>
      <c r="I13">
        <v>14</v>
      </c>
      <c r="J13">
        <v>105750</v>
      </c>
      <c r="K13">
        <v>91</v>
      </c>
      <c r="L13">
        <v>4</v>
      </c>
      <c r="M13">
        <v>13</v>
      </c>
      <c r="N13" t="s">
        <v>703</v>
      </c>
      <c r="O13" t="s">
        <v>704</v>
      </c>
      <c r="P13" t="s">
        <v>717</v>
      </c>
      <c r="Q13" t="s">
        <v>714</v>
      </c>
    </row>
    <row r="14" spans="1:17" x14ac:dyDescent="0.3">
      <c r="A14" t="s">
        <v>291</v>
      </c>
      <c r="B14" t="s">
        <v>626</v>
      </c>
      <c r="C14">
        <v>27</v>
      </c>
      <c r="D14" t="s">
        <v>686</v>
      </c>
      <c r="E14" t="s">
        <v>693</v>
      </c>
      <c r="F14" t="s">
        <v>699</v>
      </c>
      <c r="G14" s="5">
        <v>44981</v>
      </c>
      <c r="H14" s="5">
        <v>45280</v>
      </c>
      <c r="I14">
        <v>5</v>
      </c>
      <c r="J14">
        <v>75164</v>
      </c>
      <c r="K14">
        <v>94</v>
      </c>
      <c r="L14">
        <v>2</v>
      </c>
      <c r="M14">
        <v>9</v>
      </c>
      <c r="N14" t="s">
        <v>703</v>
      </c>
      <c r="O14" t="s">
        <v>704</v>
      </c>
      <c r="P14" t="s">
        <v>715</v>
      </c>
      <c r="Q14" t="s">
        <v>718</v>
      </c>
    </row>
    <row r="15" spans="1:17" x14ac:dyDescent="0.3">
      <c r="A15" t="s">
        <v>288</v>
      </c>
      <c r="B15" t="s">
        <v>623</v>
      </c>
      <c r="C15">
        <v>31</v>
      </c>
      <c r="D15" t="s">
        <v>686</v>
      </c>
      <c r="E15" t="s">
        <v>692</v>
      </c>
      <c r="F15" t="s">
        <v>699</v>
      </c>
      <c r="G15" s="5">
        <v>44611</v>
      </c>
      <c r="H15" s="5">
        <v>45319</v>
      </c>
      <c r="I15">
        <v>9</v>
      </c>
      <c r="J15">
        <v>35803</v>
      </c>
      <c r="K15">
        <v>81</v>
      </c>
      <c r="L15">
        <v>2</v>
      </c>
      <c r="M15">
        <v>3</v>
      </c>
      <c r="N15" t="s">
        <v>702</v>
      </c>
      <c r="O15" t="s">
        <v>704</v>
      </c>
      <c r="P15" t="s">
        <v>715</v>
      </c>
      <c r="Q15" t="s">
        <v>716</v>
      </c>
    </row>
    <row r="16" spans="1:17" x14ac:dyDescent="0.3">
      <c r="A16" t="s">
        <v>286</v>
      </c>
      <c r="B16" t="s">
        <v>621</v>
      </c>
      <c r="C16">
        <v>38</v>
      </c>
      <c r="D16" t="s">
        <v>686</v>
      </c>
      <c r="E16" t="s">
        <v>693</v>
      </c>
      <c r="F16" t="s">
        <v>699</v>
      </c>
      <c r="G16" s="5">
        <v>45076</v>
      </c>
      <c r="H16" s="5">
        <v>46142</v>
      </c>
      <c r="I16">
        <v>18</v>
      </c>
      <c r="J16">
        <v>100750</v>
      </c>
      <c r="K16">
        <v>74</v>
      </c>
      <c r="L16">
        <v>5</v>
      </c>
      <c r="M16">
        <v>31</v>
      </c>
      <c r="N16" t="s">
        <v>702</v>
      </c>
      <c r="O16" t="s">
        <v>704</v>
      </c>
      <c r="P16" t="s">
        <v>713</v>
      </c>
      <c r="Q16" t="s">
        <v>714</v>
      </c>
    </row>
    <row r="17" spans="1:17" x14ac:dyDescent="0.3">
      <c r="A17" t="s">
        <v>282</v>
      </c>
      <c r="B17" t="s">
        <v>617</v>
      </c>
      <c r="C17">
        <v>57</v>
      </c>
      <c r="D17" t="s">
        <v>686</v>
      </c>
      <c r="E17" t="s">
        <v>695</v>
      </c>
      <c r="F17" t="s">
        <v>700</v>
      </c>
      <c r="G17" s="5">
        <v>44796</v>
      </c>
      <c r="I17">
        <v>5</v>
      </c>
      <c r="J17">
        <v>78948</v>
      </c>
      <c r="K17">
        <v>99</v>
      </c>
      <c r="L17">
        <v>1</v>
      </c>
      <c r="M17">
        <v>17</v>
      </c>
      <c r="N17" t="s">
        <v>701</v>
      </c>
      <c r="O17" t="s">
        <v>705</v>
      </c>
      <c r="P17" t="s">
        <v>717</v>
      </c>
      <c r="Q17" t="s">
        <v>718</v>
      </c>
    </row>
    <row r="18" spans="1:17" x14ac:dyDescent="0.3">
      <c r="A18" t="s">
        <v>277</v>
      </c>
      <c r="B18" t="s">
        <v>612</v>
      </c>
      <c r="C18">
        <v>23</v>
      </c>
      <c r="D18" t="s">
        <v>686</v>
      </c>
      <c r="E18" t="s">
        <v>691</v>
      </c>
      <c r="F18" t="s">
        <v>697</v>
      </c>
      <c r="G18" s="5">
        <v>45826</v>
      </c>
      <c r="H18" s="5">
        <v>46142</v>
      </c>
      <c r="I18">
        <v>10</v>
      </c>
      <c r="J18">
        <v>47047</v>
      </c>
      <c r="K18">
        <v>94</v>
      </c>
      <c r="L18">
        <v>4</v>
      </c>
      <c r="M18">
        <v>36</v>
      </c>
      <c r="N18" t="s">
        <v>701</v>
      </c>
      <c r="O18" t="s">
        <v>704</v>
      </c>
      <c r="P18" t="s">
        <v>719</v>
      </c>
      <c r="Q18" t="s">
        <v>718</v>
      </c>
    </row>
    <row r="19" spans="1:17" x14ac:dyDescent="0.3">
      <c r="A19" t="s">
        <v>275</v>
      </c>
      <c r="B19" t="s">
        <v>610</v>
      </c>
      <c r="C19">
        <v>24</v>
      </c>
      <c r="D19" t="s">
        <v>686</v>
      </c>
      <c r="E19" t="s">
        <v>692</v>
      </c>
      <c r="F19" t="s">
        <v>698</v>
      </c>
      <c r="G19" s="5">
        <v>44841</v>
      </c>
      <c r="I19">
        <v>5</v>
      </c>
      <c r="J19">
        <v>50575</v>
      </c>
      <c r="K19">
        <v>96</v>
      </c>
      <c r="L19">
        <v>4</v>
      </c>
      <c r="M19">
        <v>35</v>
      </c>
      <c r="N19" t="s">
        <v>701</v>
      </c>
      <c r="O19" t="s">
        <v>705</v>
      </c>
      <c r="P19" t="s">
        <v>719</v>
      </c>
      <c r="Q19" t="s">
        <v>718</v>
      </c>
    </row>
    <row r="20" spans="1:17" x14ac:dyDescent="0.3">
      <c r="A20" t="s">
        <v>267</v>
      </c>
      <c r="B20" t="s">
        <v>602</v>
      </c>
      <c r="C20">
        <v>49</v>
      </c>
      <c r="D20" t="s">
        <v>686</v>
      </c>
      <c r="E20" t="s">
        <v>692</v>
      </c>
      <c r="F20" t="s">
        <v>699</v>
      </c>
      <c r="G20" s="5">
        <v>44396</v>
      </c>
      <c r="I20">
        <v>2</v>
      </c>
      <c r="J20">
        <v>118163</v>
      </c>
      <c r="K20">
        <v>73</v>
      </c>
      <c r="L20">
        <v>1</v>
      </c>
      <c r="M20">
        <v>21</v>
      </c>
      <c r="N20" t="s">
        <v>701</v>
      </c>
      <c r="O20" t="s">
        <v>705</v>
      </c>
      <c r="P20" t="s">
        <v>717</v>
      </c>
      <c r="Q20" t="s">
        <v>714</v>
      </c>
    </row>
    <row r="21" spans="1:17" x14ac:dyDescent="0.3">
      <c r="A21" t="s">
        <v>266</v>
      </c>
      <c r="B21" t="s">
        <v>601</v>
      </c>
      <c r="C21">
        <v>30</v>
      </c>
      <c r="D21" t="s">
        <v>686</v>
      </c>
      <c r="E21" t="s">
        <v>693</v>
      </c>
      <c r="F21" t="s">
        <v>699</v>
      </c>
      <c r="G21" s="5">
        <v>45048</v>
      </c>
      <c r="H21" s="5">
        <v>45375</v>
      </c>
      <c r="I21">
        <v>15</v>
      </c>
      <c r="J21">
        <v>52114</v>
      </c>
      <c r="K21">
        <v>86</v>
      </c>
      <c r="L21">
        <v>4</v>
      </c>
      <c r="M21">
        <v>22</v>
      </c>
      <c r="N21" t="s">
        <v>702</v>
      </c>
      <c r="O21" t="s">
        <v>704</v>
      </c>
      <c r="P21" t="s">
        <v>715</v>
      </c>
      <c r="Q21" t="s">
        <v>718</v>
      </c>
    </row>
    <row r="22" spans="1:17" x14ac:dyDescent="0.3">
      <c r="A22" t="s">
        <v>261</v>
      </c>
      <c r="B22" t="s">
        <v>596</v>
      </c>
      <c r="C22">
        <v>36</v>
      </c>
      <c r="D22" t="s">
        <v>686</v>
      </c>
      <c r="E22" t="s">
        <v>691</v>
      </c>
      <c r="F22" t="s">
        <v>698</v>
      </c>
      <c r="G22" s="5">
        <v>45219</v>
      </c>
      <c r="H22" s="5">
        <v>45929</v>
      </c>
      <c r="I22">
        <v>13</v>
      </c>
      <c r="J22">
        <v>34694</v>
      </c>
      <c r="K22">
        <v>84</v>
      </c>
      <c r="L22">
        <v>5</v>
      </c>
      <c r="M22">
        <v>30</v>
      </c>
      <c r="N22" t="s">
        <v>701</v>
      </c>
      <c r="O22" t="s">
        <v>704</v>
      </c>
      <c r="P22" t="s">
        <v>713</v>
      </c>
      <c r="Q22" t="s">
        <v>716</v>
      </c>
    </row>
    <row r="23" spans="1:17" x14ac:dyDescent="0.3">
      <c r="A23" t="s">
        <v>259</v>
      </c>
      <c r="B23" t="s">
        <v>594</v>
      </c>
      <c r="C23">
        <v>41</v>
      </c>
      <c r="D23" t="s">
        <v>686</v>
      </c>
      <c r="E23" t="s">
        <v>694</v>
      </c>
      <c r="F23" t="s">
        <v>697</v>
      </c>
      <c r="G23" s="5">
        <v>44560</v>
      </c>
      <c r="I23">
        <v>8</v>
      </c>
      <c r="J23">
        <v>67714</v>
      </c>
      <c r="K23">
        <v>82</v>
      </c>
      <c r="L23">
        <v>3</v>
      </c>
      <c r="M23">
        <v>25</v>
      </c>
      <c r="N23" t="s">
        <v>702</v>
      </c>
      <c r="O23" t="s">
        <v>705</v>
      </c>
      <c r="P23" t="s">
        <v>713</v>
      </c>
      <c r="Q23" t="s">
        <v>718</v>
      </c>
    </row>
    <row r="24" spans="1:17" x14ac:dyDescent="0.3">
      <c r="A24" t="s">
        <v>252</v>
      </c>
      <c r="B24" t="s">
        <v>587</v>
      </c>
      <c r="C24">
        <v>41</v>
      </c>
      <c r="D24" t="s">
        <v>686</v>
      </c>
      <c r="E24" t="s">
        <v>692</v>
      </c>
      <c r="F24" t="s">
        <v>700</v>
      </c>
      <c r="G24" s="5">
        <v>45802</v>
      </c>
      <c r="H24" s="5">
        <v>46142</v>
      </c>
      <c r="I24">
        <v>1</v>
      </c>
      <c r="J24">
        <v>65405</v>
      </c>
      <c r="K24">
        <v>84</v>
      </c>
      <c r="L24">
        <v>3</v>
      </c>
      <c r="M24">
        <v>17</v>
      </c>
      <c r="N24" t="s">
        <v>703</v>
      </c>
      <c r="O24" t="s">
        <v>704</v>
      </c>
      <c r="P24" t="s">
        <v>713</v>
      </c>
      <c r="Q24" t="s">
        <v>718</v>
      </c>
    </row>
    <row r="25" spans="1:17" x14ac:dyDescent="0.3">
      <c r="A25" t="s">
        <v>248</v>
      </c>
      <c r="B25" t="s">
        <v>583</v>
      </c>
      <c r="C25">
        <v>25</v>
      </c>
      <c r="D25" t="s">
        <v>686</v>
      </c>
      <c r="E25" t="s">
        <v>691</v>
      </c>
      <c r="F25" t="s">
        <v>697</v>
      </c>
      <c r="G25" s="5">
        <v>45737</v>
      </c>
      <c r="I25">
        <v>8</v>
      </c>
      <c r="J25">
        <v>99277</v>
      </c>
      <c r="K25">
        <v>96</v>
      </c>
      <c r="L25">
        <v>4</v>
      </c>
      <c r="M25">
        <v>34</v>
      </c>
      <c r="N25" t="s">
        <v>702</v>
      </c>
      <c r="O25" t="s">
        <v>705</v>
      </c>
      <c r="P25" t="s">
        <v>719</v>
      </c>
      <c r="Q25" t="s">
        <v>714</v>
      </c>
    </row>
    <row r="26" spans="1:17" x14ac:dyDescent="0.3">
      <c r="A26" t="s">
        <v>236</v>
      </c>
      <c r="B26" t="s">
        <v>571</v>
      </c>
      <c r="C26">
        <v>40</v>
      </c>
      <c r="D26" t="s">
        <v>686</v>
      </c>
      <c r="E26" t="s">
        <v>693</v>
      </c>
      <c r="F26" t="s">
        <v>697</v>
      </c>
      <c r="G26" s="5">
        <v>45151</v>
      </c>
      <c r="I26">
        <v>16</v>
      </c>
      <c r="J26">
        <v>86080</v>
      </c>
      <c r="K26">
        <v>73</v>
      </c>
      <c r="L26">
        <v>4</v>
      </c>
      <c r="M26">
        <v>20</v>
      </c>
      <c r="N26" t="s">
        <v>703</v>
      </c>
      <c r="O26" t="s">
        <v>705</v>
      </c>
      <c r="P26" t="s">
        <v>713</v>
      </c>
      <c r="Q26" t="s">
        <v>714</v>
      </c>
    </row>
    <row r="27" spans="1:17" x14ac:dyDescent="0.3">
      <c r="A27" t="s">
        <v>233</v>
      </c>
      <c r="B27" t="s">
        <v>568</v>
      </c>
      <c r="C27">
        <v>34</v>
      </c>
      <c r="D27" t="s">
        <v>686</v>
      </c>
      <c r="E27" t="s">
        <v>692</v>
      </c>
      <c r="F27" t="s">
        <v>698</v>
      </c>
      <c r="G27" s="5">
        <v>44694</v>
      </c>
      <c r="I27">
        <v>12</v>
      </c>
      <c r="J27">
        <v>37119</v>
      </c>
      <c r="K27">
        <v>87</v>
      </c>
      <c r="L27">
        <v>2</v>
      </c>
      <c r="M27">
        <v>3</v>
      </c>
      <c r="N27" t="s">
        <v>702</v>
      </c>
      <c r="O27" t="s">
        <v>705</v>
      </c>
      <c r="P27" t="s">
        <v>715</v>
      </c>
      <c r="Q27" t="s">
        <v>716</v>
      </c>
    </row>
    <row r="28" spans="1:17" x14ac:dyDescent="0.3">
      <c r="A28" t="s">
        <v>41</v>
      </c>
      <c r="B28" t="s">
        <v>376</v>
      </c>
      <c r="C28">
        <v>36</v>
      </c>
      <c r="D28" t="s">
        <v>686</v>
      </c>
      <c r="E28" t="s">
        <v>694</v>
      </c>
      <c r="F28" t="s">
        <v>696</v>
      </c>
      <c r="G28" s="5">
        <v>45663</v>
      </c>
      <c r="I28">
        <v>10</v>
      </c>
      <c r="J28">
        <v>84929</v>
      </c>
      <c r="K28">
        <v>80</v>
      </c>
      <c r="L28">
        <v>1</v>
      </c>
      <c r="M28">
        <v>0</v>
      </c>
      <c r="N28" t="s">
        <v>702</v>
      </c>
      <c r="O28" t="s">
        <v>705</v>
      </c>
      <c r="P28" t="s">
        <v>713</v>
      </c>
      <c r="Q28" t="s">
        <v>714</v>
      </c>
    </row>
    <row r="29" spans="1:17" x14ac:dyDescent="0.3">
      <c r="A29" t="s">
        <v>231</v>
      </c>
      <c r="B29" t="s">
        <v>566</v>
      </c>
      <c r="C29">
        <v>54</v>
      </c>
      <c r="D29" t="s">
        <v>686</v>
      </c>
      <c r="E29" t="s">
        <v>694</v>
      </c>
      <c r="F29" t="s">
        <v>698</v>
      </c>
      <c r="G29" s="5">
        <v>45571</v>
      </c>
      <c r="I29">
        <v>5</v>
      </c>
      <c r="J29">
        <v>64306</v>
      </c>
      <c r="K29">
        <v>82</v>
      </c>
      <c r="L29">
        <v>2</v>
      </c>
      <c r="M29">
        <v>34</v>
      </c>
      <c r="N29" t="s">
        <v>702</v>
      </c>
      <c r="O29" t="s">
        <v>705</v>
      </c>
      <c r="P29" t="s">
        <v>717</v>
      </c>
      <c r="Q29" t="s">
        <v>718</v>
      </c>
    </row>
    <row r="30" spans="1:17" x14ac:dyDescent="0.3">
      <c r="A30" t="s">
        <v>224</v>
      </c>
      <c r="B30" t="s">
        <v>559</v>
      </c>
      <c r="C30">
        <v>47</v>
      </c>
      <c r="D30" t="s">
        <v>686</v>
      </c>
      <c r="E30" t="s">
        <v>694</v>
      </c>
      <c r="F30" t="s">
        <v>698</v>
      </c>
      <c r="G30" s="5">
        <v>45034</v>
      </c>
      <c r="H30" s="5">
        <v>45401</v>
      </c>
      <c r="I30">
        <v>13</v>
      </c>
      <c r="J30">
        <v>74236</v>
      </c>
      <c r="K30">
        <v>72</v>
      </c>
      <c r="L30">
        <v>5</v>
      </c>
      <c r="M30">
        <v>8</v>
      </c>
      <c r="N30" t="s">
        <v>701</v>
      </c>
      <c r="O30" t="s">
        <v>704</v>
      </c>
      <c r="P30" t="s">
        <v>717</v>
      </c>
      <c r="Q30" t="s">
        <v>718</v>
      </c>
    </row>
    <row r="31" spans="1:17" x14ac:dyDescent="0.3">
      <c r="A31" t="s">
        <v>186</v>
      </c>
      <c r="B31" t="s">
        <v>521</v>
      </c>
      <c r="C31">
        <v>54</v>
      </c>
      <c r="D31" t="s">
        <v>686</v>
      </c>
      <c r="E31" t="s">
        <v>692</v>
      </c>
      <c r="F31" t="s">
        <v>699</v>
      </c>
      <c r="G31" s="5">
        <v>46111</v>
      </c>
      <c r="H31" s="5">
        <v>46142</v>
      </c>
      <c r="I31">
        <v>7</v>
      </c>
      <c r="J31">
        <v>108238</v>
      </c>
      <c r="K31">
        <v>100</v>
      </c>
      <c r="L31">
        <v>5</v>
      </c>
      <c r="M31">
        <v>17</v>
      </c>
      <c r="N31" t="s">
        <v>703</v>
      </c>
      <c r="O31" t="s">
        <v>704</v>
      </c>
      <c r="P31" t="s">
        <v>717</v>
      </c>
      <c r="Q31" t="s">
        <v>714</v>
      </c>
    </row>
    <row r="32" spans="1:17" x14ac:dyDescent="0.3">
      <c r="A32" t="s">
        <v>178</v>
      </c>
      <c r="B32" t="s">
        <v>513</v>
      </c>
      <c r="C32">
        <v>44</v>
      </c>
      <c r="D32" t="s">
        <v>686</v>
      </c>
      <c r="E32" t="s">
        <v>694</v>
      </c>
      <c r="F32" t="s">
        <v>700</v>
      </c>
      <c r="G32" s="5">
        <v>44511</v>
      </c>
      <c r="I32">
        <v>19</v>
      </c>
      <c r="J32">
        <v>43047</v>
      </c>
      <c r="K32">
        <v>86</v>
      </c>
      <c r="L32">
        <v>3</v>
      </c>
      <c r="M32">
        <v>25</v>
      </c>
      <c r="N32" t="s">
        <v>702</v>
      </c>
      <c r="O32" t="s">
        <v>705</v>
      </c>
      <c r="P32" t="s">
        <v>713</v>
      </c>
      <c r="Q32" t="s">
        <v>718</v>
      </c>
    </row>
    <row r="33" spans="1:17" x14ac:dyDescent="0.3">
      <c r="A33" t="s">
        <v>176</v>
      </c>
      <c r="B33" t="s">
        <v>511</v>
      </c>
      <c r="C33">
        <v>48</v>
      </c>
      <c r="D33" t="s">
        <v>686</v>
      </c>
      <c r="E33" t="s">
        <v>692</v>
      </c>
      <c r="F33" t="s">
        <v>700</v>
      </c>
      <c r="G33" s="5">
        <v>45685</v>
      </c>
      <c r="I33">
        <v>13</v>
      </c>
      <c r="J33">
        <v>72619</v>
      </c>
      <c r="K33">
        <v>86</v>
      </c>
      <c r="L33">
        <v>2</v>
      </c>
      <c r="M33">
        <v>1</v>
      </c>
      <c r="N33" t="s">
        <v>703</v>
      </c>
      <c r="O33" t="s">
        <v>705</v>
      </c>
      <c r="P33" t="s">
        <v>717</v>
      </c>
      <c r="Q33" t="s">
        <v>718</v>
      </c>
    </row>
    <row r="34" spans="1:17" x14ac:dyDescent="0.3">
      <c r="A34" t="s">
        <v>166</v>
      </c>
      <c r="B34" t="s">
        <v>501</v>
      </c>
      <c r="C34">
        <v>36</v>
      </c>
      <c r="D34" t="s">
        <v>686</v>
      </c>
      <c r="E34" t="s">
        <v>692</v>
      </c>
      <c r="F34" t="s">
        <v>700</v>
      </c>
      <c r="G34" s="5">
        <v>44424</v>
      </c>
      <c r="I34">
        <v>8</v>
      </c>
      <c r="J34">
        <v>80027</v>
      </c>
      <c r="K34">
        <v>90</v>
      </c>
      <c r="L34">
        <v>5</v>
      </c>
      <c r="M34">
        <v>29</v>
      </c>
      <c r="N34" t="s">
        <v>703</v>
      </c>
      <c r="O34" t="s">
        <v>705</v>
      </c>
      <c r="P34" t="s">
        <v>713</v>
      </c>
      <c r="Q34" t="s">
        <v>714</v>
      </c>
    </row>
    <row r="35" spans="1:17" x14ac:dyDescent="0.3">
      <c r="A35" t="s">
        <v>162</v>
      </c>
      <c r="B35" t="s">
        <v>497</v>
      </c>
      <c r="C35">
        <v>28</v>
      </c>
      <c r="D35" t="s">
        <v>686</v>
      </c>
      <c r="E35" t="s">
        <v>692</v>
      </c>
      <c r="F35" t="s">
        <v>696</v>
      </c>
      <c r="G35" s="5">
        <v>46110</v>
      </c>
      <c r="H35" s="5">
        <v>46142</v>
      </c>
      <c r="I35">
        <v>9</v>
      </c>
      <c r="J35">
        <v>83893</v>
      </c>
      <c r="K35">
        <v>98</v>
      </c>
      <c r="L35">
        <v>5</v>
      </c>
      <c r="M35">
        <v>9</v>
      </c>
      <c r="N35" t="s">
        <v>702</v>
      </c>
      <c r="O35" t="s">
        <v>704</v>
      </c>
      <c r="P35" t="s">
        <v>715</v>
      </c>
      <c r="Q35" t="s">
        <v>714</v>
      </c>
    </row>
    <row r="36" spans="1:17" x14ac:dyDescent="0.3">
      <c r="A36" t="s">
        <v>142</v>
      </c>
      <c r="B36" t="s">
        <v>477</v>
      </c>
      <c r="C36">
        <v>39</v>
      </c>
      <c r="D36" t="s">
        <v>686</v>
      </c>
      <c r="E36" t="s">
        <v>692</v>
      </c>
      <c r="F36" t="s">
        <v>700</v>
      </c>
      <c r="G36" s="5">
        <v>45762</v>
      </c>
      <c r="I36">
        <v>16</v>
      </c>
      <c r="J36">
        <v>81446</v>
      </c>
      <c r="K36">
        <v>75</v>
      </c>
      <c r="L36">
        <v>2</v>
      </c>
      <c r="M36">
        <v>24</v>
      </c>
      <c r="N36" t="s">
        <v>701</v>
      </c>
      <c r="O36" t="s">
        <v>705</v>
      </c>
      <c r="P36" t="s">
        <v>713</v>
      </c>
      <c r="Q36" t="s">
        <v>714</v>
      </c>
    </row>
    <row r="37" spans="1:17" x14ac:dyDescent="0.3">
      <c r="A37" t="s">
        <v>137</v>
      </c>
      <c r="B37" t="s">
        <v>472</v>
      </c>
      <c r="C37">
        <v>42</v>
      </c>
      <c r="D37" t="s">
        <v>686</v>
      </c>
      <c r="E37" t="s">
        <v>692</v>
      </c>
      <c r="F37" t="s">
        <v>696</v>
      </c>
      <c r="G37" s="5">
        <v>44756</v>
      </c>
      <c r="I37">
        <v>5</v>
      </c>
      <c r="J37">
        <v>99228</v>
      </c>
      <c r="K37">
        <v>91</v>
      </c>
      <c r="L37">
        <v>4</v>
      </c>
      <c r="M37">
        <v>4</v>
      </c>
      <c r="N37" t="s">
        <v>703</v>
      </c>
      <c r="O37" t="s">
        <v>705</v>
      </c>
      <c r="P37" t="s">
        <v>713</v>
      </c>
      <c r="Q37" t="s">
        <v>714</v>
      </c>
    </row>
    <row r="38" spans="1:17" x14ac:dyDescent="0.3">
      <c r="A38" t="s">
        <v>51</v>
      </c>
      <c r="B38" t="s">
        <v>386</v>
      </c>
      <c r="C38">
        <v>42</v>
      </c>
      <c r="D38" t="s">
        <v>686</v>
      </c>
      <c r="E38" t="s">
        <v>692</v>
      </c>
      <c r="F38" t="s">
        <v>699</v>
      </c>
      <c r="G38" s="5">
        <v>45548</v>
      </c>
      <c r="H38" s="5">
        <v>46142</v>
      </c>
      <c r="I38">
        <v>12</v>
      </c>
      <c r="J38">
        <v>109080</v>
      </c>
      <c r="K38">
        <v>86</v>
      </c>
      <c r="L38">
        <v>4</v>
      </c>
      <c r="M38">
        <v>34</v>
      </c>
      <c r="N38" t="s">
        <v>702</v>
      </c>
      <c r="O38" t="s">
        <v>704</v>
      </c>
      <c r="P38" t="s">
        <v>713</v>
      </c>
      <c r="Q38" t="s">
        <v>714</v>
      </c>
    </row>
    <row r="39" spans="1:17" x14ac:dyDescent="0.3">
      <c r="A39" t="s">
        <v>134</v>
      </c>
      <c r="B39" t="s">
        <v>469</v>
      </c>
      <c r="C39">
        <v>24</v>
      </c>
      <c r="D39" t="s">
        <v>686</v>
      </c>
      <c r="E39" t="s">
        <v>695</v>
      </c>
      <c r="F39" t="s">
        <v>699</v>
      </c>
      <c r="G39" s="5">
        <v>45986</v>
      </c>
      <c r="I39">
        <v>12</v>
      </c>
      <c r="J39">
        <v>38579</v>
      </c>
      <c r="K39">
        <v>88</v>
      </c>
      <c r="L39">
        <v>5</v>
      </c>
      <c r="M39">
        <v>13</v>
      </c>
      <c r="N39" t="s">
        <v>703</v>
      </c>
      <c r="O39" t="s">
        <v>705</v>
      </c>
      <c r="P39" t="s">
        <v>719</v>
      </c>
      <c r="Q39" t="s">
        <v>716</v>
      </c>
    </row>
    <row r="40" spans="1:17" x14ac:dyDescent="0.3">
      <c r="A40" t="s">
        <v>125</v>
      </c>
      <c r="B40" t="s">
        <v>460</v>
      </c>
      <c r="C40">
        <v>55</v>
      </c>
      <c r="D40" t="s">
        <v>686</v>
      </c>
      <c r="E40" t="s">
        <v>691</v>
      </c>
      <c r="F40" t="s">
        <v>700</v>
      </c>
      <c r="G40" s="5">
        <v>44764</v>
      </c>
      <c r="H40" s="5">
        <v>45120</v>
      </c>
      <c r="I40">
        <v>1</v>
      </c>
      <c r="J40">
        <v>42275</v>
      </c>
      <c r="K40">
        <v>70</v>
      </c>
      <c r="L40">
        <v>3</v>
      </c>
      <c r="M40">
        <v>15</v>
      </c>
      <c r="N40" t="s">
        <v>701</v>
      </c>
      <c r="O40" t="s">
        <v>704</v>
      </c>
      <c r="P40" t="s">
        <v>717</v>
      </c>
      <c r="Q40" t="s">
        <v>718</v>
      </c>
    </row>
    <row r="41" spans="1:17" x14ac:dyDescent="0.3">
      <c r="A41" t="s">
        <v>117</v>
      </c>
      <c r="B41" t="s">
        <v>452</v>
      </c>
      <c r="C41">
        <v>56</v>
      </c>
      <c r="D41" t="s">
        <v>686</v>
      </c>
      <c r="E41" t="s">
        <v>692</v>
      </c>
      <c r="F41" t="s">
        <v>698</v>
      </c>
      <c r="G41" s="5">
        <v>45958</v>
      </c>
      <c r="I41">
        <v>1</v>
      </c>
      <c r="J41">
        <v>59663</v>
      </c>
      <c r="K41">
        <v>87</v>
      </c>
      <c r="L41">
        <v>1</v>
      </c>
      <c r="M41">
        <v>29</v>
      </c>
      <c r="N41" t="s">
        <v>702</v>
      </c>
      <c r="O41" t="s">
        <v>705</v>
      </c>
      <c r="P41" t="s">
        <v>717</v>
      </c>
      <c r="Q41" t="s">
        <v>718</v>
      </c>
    </row>
    <row r="42" spans="1:17" x14ac:dyDescent="0.3">
      <c r="A42" t="s">
        <v>55</v>
      </c>
      <c r="B42" t="s">
        <v>390</v>
      </c>
      <c r="C42">
        <v>53</v>
      </c>
      <c r="D42" t="s">
        <v>686</v>
      </c>
      <c r="E42" t="s">
        <v>694</v>
      </c>
      <c r="F42" t="s">
        <v>699</v>
      </c>
      <c r="G42" s="5">
        <v>45555</v>
      </c>
      <c r="H42" s="5">
        <v>46142</v>
      </c>
      <c r="I42">
        <v>13</v>
      </c>
      <c r="J42">
        <v>116384</v>
      </c>
      <c r="K42">
        <v>79</v>
      </c>
      <c r="L42">
        <v>5</v>
      </c>
      <c r="M42">
        <v>8</v>
      </c>
      <c r="N42" t="s">
        <v>703</v>
      </c>
      <c r="O42" t="s">
        <v>704</v>
      </c>
      <c r="P42" t="s">
        <v>717</v>
      </c>
      <c r="Q42" t="s">
        <v>714</v>
      </c>
    </row>
    <row r="43" spans="1:17" x14ac:dyDescent="0.3">
      <c r="A43" t="s">
        <v>116</v>
      </c>
      <c r="B43" t="s">
        <v>451</v>
      </c>
      <c r="C43">
        <v>31</v>
      </c>
      <c r="D43" t="s">
        <v>686</v>
      </c>
      <c r="E43" t="s">
        <v>694</v>
      </c>
      <c r="F43" t="s">
        <v>699</v>
      </c>
      <c r="G43" s="5">
        <v>45224</v>
      </c>
      <c r="I43">
        <v>11</v>
      </c>
      <c r="J43">
        <v>40095</v>
      </c>
      <c r="K43">
        <v>84</v>
      </c>
      <c r="L43">
        <v>1</v>
      </c>
      <c r="M43">
        <v>9</v>
      </c>
      <c r="N43" t="s">
        <v>703</v>
      </c>
      <c r="O43" t="s">
        <v>705</v>
      </c>
      <c r="P43" t="s">
        <v>715</v>
      </c>
      <c r="Q43" t="s">
        <v>718</v>
      </c>
    </row>
    <row r="44" spans="1:17" x14ac:dyDescent="0.3">
      <c r="A44" t="s">
        <v>111</v>
      </c>
      <c r="B44" t="s">
        <v>446</v>
      </c>
      <c r="C44">
        <v>49</v>
      </c>
      <c r="D44" t="s">
        <v>686</v>
      </c>
      <c r="E44" t="s">
        <v>695</v>
      </c>
      <c r="F44" t="s">
        <v>699</v>
      </c>
      <c r="G44" s="5">
        <v>45584</v>
      </c>
      <c r="H44" s="5">
        <v>45825</v>
      </c>
      <c r="I44">
        <v>14</v>
      </c>
      <c r="J44">
        <v>115480</v>
      </c>
      <c r="K44">
        <v>78</v>
      </c>
      <c r="L44">
        <v>4</v>
      </c>
      <c r="M44">
        <v>19</v>
      </c>
      <c r="N44" t="s">
        <v>703</v>
      </c>
      <c r="O44" t="s">
        <v>704</v>
      </c>
      <c r="P44" t="s">
        <v>717</v>
      </c>
      <c r="Q44" t="s">
        <v>714</v>
      </c>
    </row>
    <row r="45" spans="1:17" x14ac:dyDescent="0.3">
      <c r="A45" t="s">
        <v>106</v>
      </c>
      <c r="B45" t="s">
        <v>441</v>
      </c>
      <c r="C45">
        <v>26</v>
      </c>
      <c r="D45" t="s">
        <v>686</v>
      </c>
      <c r="E45" t="s">
        <v>695</v>
      </c>
      <c r="F45" t="s">
        <v>698</v>
      </c>
      <c r="G45" s="5">
        <v>45615</v>
      </c>
      <c r="I45">
        <v>11</v>
      </c>
      <c r="J45">
        <v>107155</v>
      </c>
      <c r="K45">
        <v>92</v>
      </c>
      <c r="L45">
        <v>4</v>
      </c>
      <c r="M45">
        <v>34</v>
      </c>
      <c r="N45" t="s">
        <v>703</v>
      </c>
      <c r="O45" t="s">
        <v>705</v>
      </c>
      <c r="P45" t="s">
        <v>715</v>
      </c>
      <c r="Q45" t="s">
        <v>714</v>
      </c>
    </row>
    <row r="46" spans="1:17" x14ac:dyDescent="0.3">
      <c r="A46" t="s">
        <v>89</v>
      </c>
      <c r="B46" t="s">
        <v>424</v>
      </c>
      <c r="C46">
        <v>51</v>
      </c>
      <c r="D46" t="s">
        <v>686</v>
      </c>
      <c r="E46" t="s">
        <v>692</v>
      </c>
      <c r="F46" t="s">
        <v>696</v>
      </c>
      <c r="G46" s="5">
        <v>45033</v>
      </c>
      <c r="I46">
        <v>10</v>
      </c>
      <c r="J46">
        <v>117662</v>
      </c>
      <c r="K46">
        <v>79</v>
      </c>
      <c r="L46">
        <v>4</v>
      </c>
      <c r="M46">
        <v>4</v>
      </c>
      <c r="N46" t="s">
        <v>701</v>
      </c>
      <c r="O46" t="s">
        <v>705</v>
      </c>
      <c r="P46" t="s">
        <v>717</v>
      </c>
      <c r="Q46" t="s">
        <v>714</v>
      </c>
    </row>
    <row r="47" spans="1:17" x14ac:dyDescent="0.3">
      <c r="A47" t="s">
        <v>87</v>
      </c>
      <c r="B47" t="s">
        <v>422</v>
      </c>
      <c r="C47">
        <v>49</v>
      </c>
      <c r="D47" t="s">
        <v>686</v>
      </c>
      <c r="E47" t="s">
        <v>695</v>
      </c>
      <c r="F47" t="s">
        <v>698</v>
      </c>
      <c r="G47" s="5">
        <v>44976</v>
      </c>
      <c r="I47">
        <v>10</v>
      </c>
      <c r="J47">
        <v>99531</v>
      </c>
      <c r="K47">
        <v>89</v>
      </c>
      <c r="L47">
        <v>1</v>
      </c>
      <c r="M47">
        <v>39</v>
      </c>
      <c r="N47" t="s">
        <v>701</v>
      </c>
      <c r="O47" t="s">
        <v>705</v>
      </c>
      <c r="P47" t="s">
        <v>717</v>
      </c>
      <c r="Q47" t="s">
        <v>714</v>
      </c>
    </row>
    <row r="48" spans="1:17" x14ac:dyDescent="0.3">
      <c r="A48" t="s">
        <v>83</v>
      </c>
      <c r="B48" t="s">
        <v>418</v>
      </c>
      <c r="C48">
        <v>32</v>
      </c>
      <c r="D48" t="s">
        <v>686</v>
      </c>
      <c r="E48" t="s">
        <v>692</v>
      </c>
      <c r="F48" t="s">
        <v>697</v>
      </c>
      <c r="G48" s="5">
        <v>44803</v>
      </c>
      <c r="H48" s="5">
        <v>45632</v>
      </c>
      <c r="I48">
        <v>5</v>
      </c>
      <c r="J48">
        <v>60954</v>
      </c>
      <c r="K48">
        <v>71</v>
      </c>
      <c r="L48">
        <v>1</v>
      </c>
      <c r="M48">
        <v>35</v>
      </c>
      <c r="N48" t="s">
        <v>702</v>
      </c>
      <c r="O48" t="s">
        <v>704</v>
      </c>
      <c r="P48" t="s">
        <v>715</v>
      </c>
      <c r="Q48" t="s">
        <v>718</v>
      </c>
    </row>
    <row r="49" spans="1:17" x14ac:dyDescent="0.3">
      <c r="A49" t="s">
        <v>80</v>
      </c>
      <c r="B49" t="s">
        <v>415</v>
      </c>
      <c r="C49">
        <v>36</v>
      </c>
      <c r="D49" t="s">
        <v>686</v>
      </c>
      <c r="E49" t="s">
        <v>695</v>
      </c>
      <c r="F49" t="s">
        <v>699</v>
      </c>
      <c r="G49" s="5">
        <v>44650</v>
      </c>
      <c r="I49">
        <v>16</v>
      </c>
      <c r="J49">
        <v>97544</v>
      </c>
      <c r="K49">
        <v>86</v>
      </c>
      <c r="L49">
        <v>3</v>
      </c>
      <c r="M49">
        <v>27</v>
      </c>
      <c r="N49" t="s">
        <v>701</v>
      </c>
      <c r="O49" t="s">
        <v>705</v>
      </c>
      <c r="P49" t="s">
        <v>713</v>
      </c>
      <c r="Q49" t="s">
        <v>714</v>
      </c>
    </row>
    <row r="50" spans="1:17" x14ac:dyDescent="0.3">
      <c r="A50" t="s">
        <v>78</v>
      </c>
      <c r="B50" t="s">
        <v>413</v>
      </c>
      <c r="C50">
        <v>37</v>
      </c>
      <c r="D50" t="s">
        <v>686</v>
      </c>
      <c r="E50" t="s">
        <v>693</v>
      </c>
      <c r="F50" t="s">
        <v>697</v>
      </c>
      <c r="G50" s="5">
        <v>45195</v>
      </c>
      <c r="H50" s="5">
        <v>46011</v>
      </c>
      <c r="I50">
        <v>9</v>
      </c>
      <c r="J50">
        <v>97848</v>
      </c>
      <c r="K50">
        <v>70</v>
      </c>
      <c r="L50">
        <v>5</v>
      </c>
      <c r="M50">
        <v>12</v>
      </c>
      <c r="N50" t="s">
        <v>703</v>
      </c>
      <c r="O50" t="s">
        <v>704</v>
      </c>
      <c r="P50" t="s">
        <v>713</v>
      </c>
      <c r="Q50" t="s">
        <v>714</v>
      </c>
    </row>
    <row r="51" spans="1:17" x14ac:dyDescent="0.3">
      <c r="A51" t="s">
        <v>69</v>
      </c>
      <c r="B51" t="s">
        <v>404</v>
      </c>
      <c r="C51">
        <v>45</v>
      </c>
      <c r="D51" t="s">
        <v>686</v>
      </c>
      <c r="E51" t="s">
        <v>691</v>
      </c>
      <c r="F51" t="s">
        <v>698</v>
      </c>
      <c r="G51" s="5">
        <v>44569</v>
      </c>
      <c r="H51" s="5">
        <v>45191</v>
      </c>
      <c r="I51">
        <v>11</v>
      </c>
      <c r="J51">
        <v>69236</v>
      </c>
      <c r="K51">
        <v>94</v>
      </c>
      <c r="L51">
        <v>4</v>
      </c>
      <c r="M51">
        <v>17</v>
      </c>
      <c r="N51" t="s">
        <v>702</v>
      </c>
      <c r="O51" t="s">
        <v>704</v>
      </c>
      <c r="P51" t="s">
        <v>713</v>
      </c>
      <c r="Q51" t="s">
        <v>718</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N34"/>
  <sheetViews>
    <sheetView workbookViewId="0">
      <selection activeCell="D3" sqref="D3"/>
    </sheetView>
  </sheetViews>
  <sheetFormatPr defaultRowHeight="14.4" x14ac:dyDescent="0.3"/>
  <cols>
    <col min="1" max="1" width="12.5546875" bestFit="1" customWidth="1"/>
    <col min="2" max="2" width="15.6640625" customWidth="1"/>
    <col min="4" max="4" width="12.5546875" customWidth="1"/>
    <col min="5" max="5" width="15.5546875" customWidth="1"/>
    <col min="7" max="7" width="12.5546875" customWidth="1"/>
    <col min="8" max="8" width="15.5546875" customWidth="1"/>
    <col min="10" max="10" width="12.5546875" bestFit="1" customWidth="1"/>
    <col min="11" max="11" width="19.88671875" customWidth="1"/>
    <col min="13" max="13" width="16.6640625" customWidth="1"/>
    <col min="14" max="14" width="16.44140625" customWidth="1"/>
  </cols>
  <sheetData>
    <row r="2" spans="1:14" x14ac:dyDescent="0.3">
      <c r="M2" t="s">
        <v>721</v>
      </c>
      <c r="N2">
        <f>COUNTA(Sheet7!A2:A336)</f>
        <v>335</v>
      </c>
    </row>
    <row r="3" spans="1:14" x14ac:dyDescent="0.3">
      <c r="A3" s="1" t="s">
        <v>708</v>
      </c>
      <c r="B3" t="s">
        <v>710</v>
      </c>
      <c r="D3" s="1" t="s">
        <v>708</v>
      </c>
      <c r="E3" t="s">
        <v>711</v>
      </c>
      <c r="G3" s="1" t="s">
        <v>708</v>
      </c>
      <c r="H3" t="s">
        <v>712</v>
      </c>
      <c r="J3" s="1" t="s">
        <v>708</v>
      </c>
      <c r="K3" t="s">
        <v>710</v>
      </c>
    </row>
    <row r="4" spans="1:14" x14ac:dyDescent="0.3">
      <c r="A4" s="2" t="s">
        <v>685</v>
      </c>
      <c r="B4" s="3">
        <v>52</v>
      </c>
      <c r="D4" s="2" t="s">
        <v>685</v>
      </c>
      <c r="E4" s="3">
        <v>73851.557692307688</v>
      </c>
      <c r="G4" s="2" t="s">
        <v>685</v>
      </c>
      <c r="H4" s="3">
        <v>85.634615384615387</v>
      </c>
      <c r="J4" s="2" t="s">
        <v>719</v>
      </c>
      <c r="K4" s="3">
        <v>46</v>
      </c>
      <c r="M4" t="s">
        <v>722</v>
      </c>
      <c r="N4">
        <f>AVERAGE(Sheet7!J2:J336)</f>
        <v>71382.319402985071</v>
      </c>
    </row>
    <row r="5" spans="1:14" x14ac:dyDescent="0.3">
      <c r="A5" s="2" t="s">
        <v>690</v>
      </c>
      <c r="B5" s="3">
        <v>54</v>
      </c>
      <c r="D5" s="2" t="s">
        <v>690</v>
      </c>
      <c r="E5" s="3">
        <v>68990.5</v>
      </c>
      <c r="G5" s="2" t="s">
        <v>690</v>
      </c>
      <c r="H5" s="3">
        <v>83.833333333333329</v>
      </c>
      <c r="J5" s="2" t="s">
        <v>715</v>
      </c>
      <c r="K5" s="3">
        <v>87</v>
      </c>
    </row>
    <row r="6" spans="1:14" x14ac:dyDescent="0.3">
      <c r="A6" s="2" t="s">
        <v>689</v>
      </c>
      <c r="B6" s="3">
        <v>61</v>
      </c>
      <c r="D6" s="2" t="s">
        <v>689</v>
      </c>
      <c r="E6" s="3">
        <v>71958.655737704918</v>
      </c>
      <c r="G6" s="2" t="s">
        <v>689</v>
      </c>
      <c r="H6" s="3">
        <v>85.393442622950815</v>
      </c>
      <c r="J6" s="2" t="s">
        <v>713</v>
      </c>
      <c r="K6" s="3">
        <v>76</v>
      </c>
      <c r="M6" t="s">
        <v>723</v>
      </c>
      <c r="N6">
        <f>AVERAGE(Sheet7!K2:K336)</f>
        <v>84.973134328358213</v>
      </c>
    </row>
    <row r="7" spans="1:14" x14ac:dyDescent="0.3">
      <c r="A7" s="2" t="s">
        <v>688</v>
      </c>
      <c r="B7" s="3">
        <v>64</v>
      </c>
      <c r="D7" s="2" t="s">
        <v>688</v>
      </c>
      <c r="E7" s="3">
        <v>63287.125</v>
      </c>
      <c r="G7" s="2" t="s">
        <v>688</v>
      </c>
      <c r="H7" s="3">
        <v>83.953125</v>
      </c>
      <c r="J7" s="2" t="s">
        <v>717</v>
      </c>
      <c r="K7" s="3">
        <v>126</v>
      </c>
    </row>
    <row r="8" spans="1:14" x14ac:dyDescent="0.3">
      <c r="A8" s="2" t="s">
        <v>687</v>
      </c>
      <c r="B8" s="3">
        <v>54</v>
      </c>
      <c r="D8" s="2" t="s">
        <v>687</v>
      </c>
      <c r="E8" s="3">
        <v>76428.814814814818</v>
      </c>
      <c r="G8" s="2" t="s">
        <v>687</v>
      </c>
      <c r="H8" s="3">
        <v>86.5</v>
      </c>
      <c r="J8" s="2" t="s">
        <v>709</v>
      </c>
      <c r="K8" s="3">
        <v>335</v>
      </c>
      <c r="M8" t="s">
        <v>724</v>
      </c>
      <c r="N8">
        <f>COUNTIF(Sheet7!O2:O336,"Yes")</f>
        <v>158</v>
      </c>
    </row>
    <row r="9" spans="1:14" x14ac:dyDescent="0.3">
      <c r="A9" s="2" t="s">
        <v>686</v>
      </c>
      <c r="B9" s="3">
        <v>50</v>
      </c>
      <c r="D9" s="2" t="s">
        <v>686</v>
      </c>
      <c r="E9" s="3">
        <v>75605.98</v>
      </c>
      <c r="G9" s="2" t="s">
        <v>686</v>
      </c>
      <c r="H9" s="3">
        <v>84.66</v>
      </c>
    </row>
    <row r="10" spans="1:14" x14ac:dyDescent="0.3">
      <c r="A10" s="2" t="s">
        <v>709</v>
      </c>
      <c r="B10" s="3">
        <v>335</v>
      </c>
      <c r="D10" s="2" t="s">
        <v>709</v>
      </c>
      <c r="E10" s="3">
        <v>71382.319402985071</v>
      </c>
      <c r="G10" s="2" t="s">
        <v>709</v>
      </c>
      <c r="H10" s="3">
        <v>84.973134328358213</v>
      </c>
    </row>
    <row r="12" spans="1:14" x14ac:dyDescent="0.3">
      <c r="J12" s="1" t="s">
        <v>708</v>
      </c>
      <c r="K12" t="s">
        <v>712</v>
      </c>
    </row>
    <row r="13" spans="1:14" x14ac:dyDescent="0.3">
      <c r="A13" s="1" t="s">
        <v>708</v>
      </c>
      <c r="B13" t="s">
        <v>720</v>
      </c>
      <c r="D13" s="1" t="s">
        <v>708</v>
      </c>
      <c r="E13" t="s">
        <v>710</v>
      </c>
      <c r="G13" s="1" t="s">
        <v>708</v>
      </c>
      <c r="H13" t="s">
        <v>711</v>
      </c>
      <c r="J13" s="2" t="s">
        <v>685</v>
      </c>
      <c r="K13" s="3">
        <v>85.634615384615387</v>
      </c>
    </row>
    <row r="14" spans="1:14" x14ac:dyDescent="0.3">
      <c r="A14" s="2" t="s">
        <v>685</v>
      </c>
      <c r="B14" s="3">
        <v>52</v>
      </c>
      <c r="D14" s="2" t="s">
        <v>714</v>
      </c>
      <c r="E14" s="3">
        <v>137</v>
      </c>
      <c r="G14" s="2">
        <v>1</v>
      </c>
      <c r="H14" s="3">
        <v>58006.583333333336</v>
      </c>
      <c r="J14" s="2" t="s">
        <v>690</v>
      </c>
      <c r="K14" s="3">
        <v>83.833333333333329</v>
      </c>
    </row>
    <row r="15" spans="1:14" x14ac:dyDescent="0.3">
      <c r="A15" s="2" t="s">
        <v>690</v>
      </c>
      <c r="B15" s="3">
        <v>54</v>
      </c>
      <c r="D15" s="2" t="s">
        <v>716</v>
      </c>
      <c r="E15" s="3">
        <v>58</v>
      </c>
      <c r="G15" s="2">
        <v>2</v>
      </c>
      <c r="H15" s="3">
        <v>64708.333333333336</v>
      </c>
      <c r="J15" s="2" t="s">
        <v>689</v>
      </c>
      <c r="K15" s="3">
        <v>85.393442622950815</v>
      </c>
    </row>
    <row r="16" spans="1:14" x14ac:dyDescent="0.3">
      <c r="A16" s="2" t="s">
        <v>689</v>
      </c>
      <c r="B16" s="3">
        <v>61</v>
      </c>
      <c r="D16" s="2" t="s">
        <v>718</v>
      </c>
      <c r="E16" s="3">
        <v>140</v>
      </c>
      <c r="G16" s="2">
        <v>3</v>
      </c>
      <c r="H16" s="3">
        <v>76359.142857142855</v>
      </c>
      <c r="J16" s="2" t="s">
        <v>688</v>
      </c>
      <c r="K16" s="3">
        <v>83.953125</v>
      </c>
    </row>
    <row r="17" spans="1:13" x14ac:dyDescent="0.3">
      <c r="A17" s="2" t="s">
        <v>688</v>
      </c>
      <c r="B17" s="3">
        <v>64</v>
      </c>
      <c r="D17" s="2" t="s">
        <v>709</v>
      </c>
      <c r="E17" s="3">
        <v>335</v>
      </c>
      <c r="G17" s="2">
        <v>4</v>
      </c>
      <c r="H17" s="3">
        <v>68149.399999999994</v>
      </c>
      <c r="J17" s="2" t="s">
        <v>687</v>
      </c>
      <c r="K17" s="3">
        <v>86.5</v>
      </c>
    </row>
    <row r="18" spans="1:13" x14ac:dyDescent="0.3">
      <c r="A18" s="2" t="s">
        <v>687</v>
      </c>
      <c r="B18" s="3">
        <v>54</v>
      </c>
      <c r="G18" s="2">
        <v>5</v>
      </c>
      <c r="H18" s="3">
        <v>65414.047619047618</v>
      </c>
      <c r="J18" s="2" t="s">
        <v>686</v>
      </c>
      <c r="K18" s="3">
        <v>84.66</v>
      </c>
    </row>
    <row r="19" spans="1:13" x14ac:dyDescent="0.3">
      <c r="A19" s="2" t="s">
        <v>686</v>
      </c>
      <c r="B19" s="3">
        <v>50</v>
      </c>
      <c r="G19" s="2">
        <v>6</v>
      </c>
      <c r="H19" s="3">
        <v>76517.545454545456</v>
      </c>
      <c r="J19" s="2" t="s">
        <v>709</v>
      </c>
      <c r="K19" s="3">
        <v>84.973134328358213</v>
      </c>
      <c r="M19">
        <f>Sheet8!N2</f>
        <v>335</v>
      </c>
    </row>
    <row r="20" spans="1:13" x14ac:dyDescent="0.3">
      <c r="A20" s="2" t="s">
        <v>709</v>
      </c>
      <c r="B20" s="3">
        <v>335</v>
      </c>
      <c r="G20" s="2">
        <v>7</v>
      </c>
      <c r="H20" s="3">
        <v>61878.090909090912</v>
      </c>
    </row>
    <row r="21" spans="1:13" x14ac:dyDescent="0.3">
      <c r="G21" s="2">
        <v>8</v>
      </c>
      <c r="H21" s="3">
        <v>72927.823529411762</v>
      </c>
    </row>
    <row r="22" spans="1:13" x14ac:dyDescent="0.3">
      <c r="G22" s="2">
        <v>9</v>
      </c>
      <c r="H22" s="3">
        <v>62047.333333333336</v>
      </c>
    </row>
    <row r="23" spans="1:13" x14ac:dyDescent="0.3">
      <c r="G23" s="2">
        <v>10</v>
      </c>
      <c r="H23" s="3">
        <v>80860.913043478256</v>
      </c>
    </row>
    <row r="24" spans="1:13" x14ac:dyDescent="0.3">
      <c r="G24" s="2">
        <v>11</v>
      </c>
      <c r="H24" s="3">
        <v>69189.941176470587</v>
      </c>
    </row>
    <row r="25" spans="1:13" x14ac:dyDescent="0.3">
      <c r="G25" s="2">
        <v>12</v>
      </c>
      <c r="H25" s="3">
        <v>74317.15789473684</v>
      </c>
    </row>
    <row r="26" spans="1:13" x14ac:dyDescent="0.3">
      <c r="G26" s="2">
        <v>13</v>
      </c>
      <c r="H26" s="3">
        <v>79707.777777777781</v>
      </c>
    </row>
    <row r="27" spans="1:13" x14ac:dyDescent="0.3">
      <c r="G27" s="2">
        <v>14</v>
      </c>
      <c r="H27" s="3">
        <v>72265.904761904763</v>
      </c>
    </row>
    <row r="28" spans="1:13" x14ac:dyDescent="0.3">
      <c r="G28" s="2">
        <v>15</v>
      </c>
      <c r="H28" s="3">
        <v>71532.272727272721</v>
      </c>
    </row>
    <row r="29" spans="1:13" x14ac:dyDescent="0.3">
      <c r="G29" s="2">
        <v>16</v>
      </c>
      <c r="H29" s="3">
        <v>70554.111111111109</v>
      </c>
    </row>
    <row r="30" spans="1:13" x14ac:dyDescent="0.3">
      <c r="G30" s="2">
        <v>17</v>
      </c>
      <c r="H30" s="3">
        <v>68232.9375</v>
      </c>
    </row>
    <row r="31" spans="1:13" x14ac:dyDescent="0.3">
      <c r="G31" s="2">
        <v>18</v>
      </c>
      <c r="H31" s="3">
        <v>69327.199999999997</v>
      </c>
    </row>
    <row r="32" spans="1:13" x14ac:dyDescent="0.3">
      <c r="G32" s="2">
        <v>19</v>
      </c>
      <c r="H32" s="3">
        <v>83325.733333333337</v>
      </c>
    </row>
    <row r="33" spans="7:8" x14ac:dyDescent="0.3">
      <c r="G33" s="2">
        <v>20</v>
      </c>
      <c r="H33" s="3">
        <v>67827.666666666672</v>
      </c>
    </row>
    <row r="34" spans="7:8" x14ac:dyDescent="0.3">
      <c r="G34" s="2" t="s">
        <v>709</v>
      </c>
      <c r="H34" s="3">
        <v>71382.319402985071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tabSelected="1" workbookViewId="0"/>
  </sheetViews>
  <sheetFormatPr defaultRowHeight="14.4" x14ac:dyDescent="0.3"/>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C6088FB-D3F4-4D0D-8857-1B582B0280E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Sheet1</vt:lpstr>
      <vt:lpstr>Sheet7</vt:lpstr>
      <vt:lpstr>Sheet10</vt:lpstr>
      <vt:lpstr>Sheet8</vt:lpstr>
      <vt:lpstr>Sheet9</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nikunj ukey</dc:creator>
  <cp:lastModifiedBy>Hp</cp:lastModifiedBy>
  <dcterms:created xsi:type="dcterms:W3CDTF">2026-05-16T21:28:05Z</dcterms:created>
  <dcterms:modified xsi:type="dcterms:W3CDTF">2026-05-18T20:58:27Z</dcterms:modified>
</cp:coreProperties>
</file>